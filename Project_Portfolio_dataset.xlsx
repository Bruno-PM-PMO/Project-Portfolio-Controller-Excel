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gel lazaro\Downloads\"/>
    </mc:Choice>
  </mc:AlternateContent>
  <xr:revisionPtr revIDLastSave="0" documentId="8_{104027AF-83FA-48B2-AEF3-76E76AB2BE0E}" xr6:coauthVersionLast="47" xr6:coauthVersionMax="47" xr10:uidLastSave="{00000000-0000-0000-0000-000000000000}"/>
  <bookViews>
    <workbookView xWindow="-120" yWindow="-120" windowWidth="29040" windowHeight="15720" xr2:uid="{CB07E920-51C0-47D5-973F-50EB4B13BFD9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" i="1" l="1"/>
  <c r="H2" i="1"/>
</calcChain>
</file>

<file path=xl/sharedStrings.xml><?xml version="1.0" encoding="utf-8"?>
<sst xmlns="http://schemas.openxmlformats.org/spreadsheetml/2006/main" count="16" uniqueCount="16">
  <si>
    <t>Project</t>
  </si>
  <si>
    <t>Task</t>
  </si>
  <si>
    <t>Manager</t>
  </si>
  <si>
    <t>Start Date</t>
  </si>
  <si>
    <t>Duration</t>
  </si>
  <si>
    <t>End Date</t>
  </si>
  <si>
    <t>Days completed</t>
  </si>
  <si>
    <t>Progress</t>
  </si>
  <si>
    <t>Budget</t>
  </si>
  <si>
    <t>Actual</t>
  </si>
  <si>
    <t>Task 1</t>
  </si>
  <si>
    <t>Task 2</t>
  </si>
  <si>
    <t>Ejemplo 1</t>
  </si>
  <si>
    <t>Ejemplo 2</t>
  </si>
  <si>
    <t>Pepito</t>
  </si>
  <si>
    <t>Luisa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</si>
</sst>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d/mm/yyyy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0"/>
        <bgColor theme="5" tint="0.79998168889431442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theme="5" tint="0.39997558519241921"/>
      </left>
      <right/>
      <top style="thin">
        <color theme="5" tint="0.39997558519241921"/>
      </top>
      <bottom style="thin">
        <color theme="5" tint="0.39997558519241921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164" fontId="2" fillId="2" borderId="2" xfId="0" applyNumberFormat="1" applyFont="1" applyFill="1" applyBorder="1"/>
    <xf numFmtId="14" fontId="2" fillId="2" borderId="2" xfId="0" applyNumberFormat="1" applyFont="1" applyFill="1" applyBorder="1"/>
    <xf numFmtId="3" fontId="2" fillId="2" borderId="2" xfId="0" applyNumberFormat="1" applyFont="1" applyFill="1" applyBorder="1"/>
    <xf numFmtId="9" fontId="2" fillId="2" borderId="2" xfId="1" applyFont="1" applyFill="1" applyBorder="1"/>
    <xf numFmtId="0" fontId="2" fillId="2" borderId="3" xfId="0" applyFont="1" applyFill="1" applyBorder="1"/>
    <xf numFmtId="0" fontId="3" fillId="3" borderId="1" xfId="0" applyFont="1" applyFill="1" applyBorder="1"/>
    <xf numFmtId="0" fontId="3" fillId="3" borderId="2" xfId="0" applyFont="1" applyFill="1" applyBorder="1"/>
    <xf numFmtId="0" fontId="0" fillId="3" borderId="2" xfId="0" applyFill="1" applyBorder="1"/>
    <xf numFmtId="165" fontId="0" fillId="3" borderId="2" xfId="0" applyNumberFormat="1" applyFill="1" applyBorder="1"/>
    <xf numFmtId="3" fontId="0" fillId="3" borderId="2" xfId="0" applyNumberFormat="1" applyFill="1" applyBorder="1"/>
    <xf numFmtId="9" fontId="0" fillId="3" borderId="2" xfId="1" applyFont="1" applyFill="1" applyBorder="1"/>
    <xf numFmtId="3" fontId="0" fillId="3" borderId="3" xfId="0" applyNumberFormat="1" applyFill="1" applyBorder="1"/>
    <xf numFmtId="0" fontId="3" fillId="4" borderId="1" xfId="0" applyFont="1" applyFill="1" applyBorder="1"/>
    <xf numFmtId="0" fontId="3" fillId="5" borderId="2" xfId="0" applyFont="1" applyFill="1" applyBorder="1"/>
    <xf numFmtId="165" fontId="3" fillId="5" borderId="2" xfId="0" applyNumberFormat="1" applyFont="1" applyFill="1" applyBorder="1"/>
    <xf numFmtId="165" fontId="3" fillId="4" borderId="2" xfId="0" applyNumberFormat="1" applyFont="1" applyFill="1" applyBorder="1"/>
    <xf numFmtId="3" fontId="3" fillId="5" borderId="2" xfId="0" applyNumberFormat="1" applyFont="1" applyFill="1" applyBorder="1"/>
    <xf numFmtId="9" fontId="3" fillId="5" borderId="2" xfId="1" applyFont="1" applyFill="1" applyBorder="1"/>
    <xf numFmtId="3" fontId="3" fillId="5" borderId="3" xfId="0" applyNumberFormat="1" applyFont="1" applyFill="1" applyBorder="1"/>
    <xf numFmtId="0" fontId="3" fillId="5" borderId="0" xfId="0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gel%20lazaro\Downloads\Project_Portfolio_Controller.xlsm" TargetMode="External"/><Relationship Id="rId1" Type="http://schemas.openxmlformats.org/officeDocument/2006/relationships/externalLinkPath" Target="Project_Portfolio_Controller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Data"/>
      <sheetName val="Workings dashboard"/>
      <sheetName val="Instructions Data"/>
    </sheetNames>
    <sheetDataSet>
      <sheetData sheetId="0"/>
      <sheetData sheetId="1"/>
      <sheetData sheetId="2"/>
      <sheetData sheetId="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AA1FD-B08C-4E2A-93C3-C36BD9CE44EF}">
  <dimension ref="A1:CE3"/>
  <sheetViews>
    <sheetView tabSelected="1" workbookViewId="0">
      <selection activeCell="G4" sqref="G4"/>
    </sheetView>
  </sheetViews>
  <sheetFormatPr defaultRowHeight="15" x14ac:dyDescent="0.25"/>
  <cols>
    <col min="4" max="4" width="10.42578125" bestFit="1" customWidth="1"/>
    <col min="6" max="6" width="10.42578125" bestFit="1" customWidth="1"/>
    <col min="7" max="7" width="15.7109375" bestFit="1" customWidth="1"/>
    <col min="10" max="10" width="6.5703125" bestFit="1" customWidth="1"/>
  </cols>
  <sheetData>
    <row r="1" spans="1:83" x14ac:dyDescent="0.2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5" t="s">
        <v>6</v>
      </c>
      <c r="H1" s="6" t="s">
        <v>7</v>
      </c>
      <c r="I1" s="2" t="s">
        <v>8</v>
      </c>
      <c r="J1" s="7" t="s">
        <v>9</v>
      </c>
    </row>
    <row r="2" spans="1:83" x14ac:dyDescent="0.25">
      <c r="A2" s="8" t="s">
        <v>12</v>
      </c>
      <c r="B2" s="9" t="s">
        <v>10</v>
      </c>
      <c r="C2" s="10" t="s">
        <v>14</v>
      </c>
      <c r="D2" s="11">
        <v>46190</v>
      </c>
      <c r="E2" s="10">
        <v>5</v>
      </c>
      <c r="F2" s="11">
        <v>46195</v>
      </c>
      <c r="G2" s="12">
        <v>5</v>
      </c>
      <c r="H2" s="13">
        <f>[1]!Table1[[#This Row],[Days completed]]/[1]!Table1[[#This Row],[Duration]]</f>
        <v>0.4</v>
      </c>
      <c r="I2" s="12">
        <v>150000</v>
      </c>
      <c r="J2" s="14">
        <v>50000</v>
      </c>
    </row>
    <row r="3" spans="1:83" s="22" customFormat="1" x14ac:dyDescent="0.25">
      <c r="A3" s="15" t="s">
        <v>13</v>
      </c>
      <c r="B3" s="16" t="s">
        <v>11</v>
      </c>
      <c r="C3" s="16" t="s">
        <v>15</v>
      </c>
      <c r="D3" s="17">
        <v>46191</v>
      </c>
      <c r="E3" s="16">
        <v>6</v>
      </c>
      <c r="F3" s="18">
        <v>46196</v>
      </c>
      <c r="G3" s="19">
        <v>5</v>
      </c>
      <c r="H3" s="20">
        <f>[1]!Table1[[#This Row],[Days completed]]/[1]!Table1[[#This Row],[Duration]]</f>
        <v>0.5</v>
      </c>
      <c r="I3" s="19">
        <v>150000</v>
      </c>
      <c r="J3" s="21">
        <v>50000</v>
      </c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Fierro Grossocordone</dc:creator>
  <cp:lastModifiedBy>Bruno Fierro Grossocordone</cp:lastModifiedBy>
  <dcterms:created xsi:type="dcterms:W3CDTF">2026-05-15T15:32:21Z</dcterms:created>
  <dcterms:modified xsi:type="dcterms:W3CDTF">2026-05-15T15:36:25Z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