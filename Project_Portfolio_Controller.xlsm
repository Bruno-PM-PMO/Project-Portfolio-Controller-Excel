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angel lazaro\Desktop\BRUNO\Data analysis\Excel\"/>
    </mc:Choice>
  </mc:AlternateContent>
  <xr:revisionPtr revIDLastSave="0" documentId="13_ncr:1_{9D910580-F59D-46D7-BED8-B81C940BD0CE}" xr6:coauthVersionLast="47" xr6:coauthVersionMax="47" xr10:uidLastSave="{00000000-0000-0000-0000-000000000000}"/>
  <bookViews>
    <workbookView xWindow="-120" yWindow="-120" windowWidth="29040" windowHeight="15720" tabRatio="664" xr2:uid="{599CBDBA-6DCB-491A-8F55-440439BE8440}"/>
  </bookViews>
  <sheets>
    <sheet name="Dashboard" sheetId="3" r:id="rId1"/>
    <sheet name="Data" sheetId="1" r:id="rId2"/>
    <sheet name="Workings dashboard" sheetId="4" state="hidden" r:id="rId3"/>
    <sheet name="Instructions Data" sheetId="10" r:id="rId4"/>
  </sheets>
  <functionGroups builtInGroupCount="19"/>
  <definedNames>
    <definedName name="_xlnm.Print_Area" localSheetId="0">Dashboard!$A$1:$X$46</definedName>
    <definedName name="Slicer_Manager">#N/A</definedName>
    <definedName name="Slicer_Project">#N/A</definedName>
  </definedNames>
  <calcPr calcId="191029"/>
  <pivotCaches>
    <pivotCache cacheId="22"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 i="1" l="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E1" i="3"/>
  <c r="K5" i="3" l="1" a="1"/>
  <c r="K5" i="3" s="1"/>
  <c r="F2" i="4" l="1"/>
  <c r="F3" i="4" l="1"/>
  <c r="M3" i="4"/>
  <c r="G4" i="4"/>
  <c r="G2" i="4"/>
  <c r="N4" i="4"/>
  <c r="C5" i="4"/>
  <c r="G5" i="4"/>
  <c r="G3" i="4"/>
  <c r="N3" i="4"/>
  <c r="G6" i="4"/>
  <c r="F5" i="4" l="1"/>
  <c r="F4" i="4" l="1"/>
  <c r="B4" i="4"/>
  <c r="C4" i="4" l="1"/>
  <c r="F6" i="4" l="1"/>
  <c r="M4"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<sst xmlns="http://schemas.openxmlformats.org/spreadsheetml/2006/main" count="252" uniqueCount="58">
  <si>
    <t>Project</t>
  </si>
  <si>
    <t>Task</t>
  </si>
  <si>
    <t>Start Date</t>
  </si>
  <si>
    <t>Progress</t>
  </si>
  <si>
    <t>Task 1</t>
  </si>
  <si>
    <t>Budget</t>
  </si>
  <si>
    <t>Actual</t>
  </si>
  <si>
    <t>Duration</t>
  </si>
  <si>
    <t>Manager</t>
  </si>
  <si>
    <t>End Date</t>
  </si>
  <si>
    <t>Days completed</t>
  </si>
  <si>
    <t>Days comp.</t>
  </si>
  <si>
    <t xml:space="preserve">Budget </t>
  </si>
  <si>
    <t xml:space="preserve">Actual </t>
  </si>
  <si>
    <t>Values</t>
  </si>
  <si>
    <t>Total Tasks</t>
  </si>
  <si>
    <t>In Progress</t>
  </si>
  <si>
    <t>Completed</t>
  </si>
  <si>
    <t>Not Started</t>
  </si>
  <si>
    <t>Scroll bar position</t>
  </si>
  <si>
    <t>%</t>
  </si>
  <si>
    <t>Formula</t>
  </si>
  <si>
    <t>Remaining</t>
  </si>
  <si>
    <t xml:space="preserve">Days completed </t>
  </si>
  <si>
    <t>Tasks Bar Chart</t>
  </si>
  <si>
    <t>Budget v Actual Doughnut &amp; Bar Chart</t>
  </si>
  <si>
    <t>Overall Progress - Days Completed v Duration Doughnut Chart</t>
  </si>
  <si>
    <t>Days Remaining</t>
  </si>
  <si>
    <t xml:space="preserve">Duration </t>
  </si>
  <si>
    <t>Days Completed</t>
  </si>
  <si>
    <t>Doughnut Chart</t>
  </si>
  <si>
    <t>Bar Chart</t>
  </si>
  <si>
    <t>Dougnut Chart</t>
  </si>
  <si>
    <t>Total general</t>
  </si>
  <si>
    <r>
      <t xml:space="preserve">El archivo que añades </t>
    </r>
    <r>
      <rPr>
        <b/>
        <sz val="11"/>
        <color theme="1"/>
        <rFont val="Calibri"/>
        <family val="2"/>
        <scheme val="minor"/>
      </rPr>
      <t>DEBE TENER</t>
    </r>
    <r>
      <rPr>
        <sz val="11"/>
        <color theme="1"/>
        <rFont val="Calibri"/>
        <family val="2"/>
        <scheme val="minor"/>
      </rPr>
      <t xml:space="preserve"> los mismos encabezados de las columnas de esta pestaña.     The file you add </t>
    </r>
    <r>
      <rPr>
        <b/>
        <sz val="11"/>
        <color theme="1"/>
        <rFont val="Calibri"/>
        <family val="2"/>
        <scheme val="minor"/>
      </rPr>
      <t>MUST HAVE</t>
    </r>
    <r>
      <rPr>
        <sz val="11"/>
        <color theme="1"/>
        <rFont val="Calibri"/>
        <family val="2"/>
        <scheme val="minor"/>
      </rPr>
      <t xml:space="preserve"> the same column headers from this sheet.</t>
    </r>
  </si>
  <si>
    <r>
      <t xml:space="preserve">Si un Proyecto tiene una Tarea duplicada, se subraya en </t>
    </r>
    <r>
      <rPr>
        <b/>
        <sz val="11"/>
        <color theme="1"/>
        <rFont val="Calibri"/>
        <family val="2"/>
        <scheme val="minor"/>
      </rPr>
      <t>ROJO</t>
    </r>
    <r>
      <rPr>
        <sz val="11"/>
        <color theme="1"/>
        <rFont val="Calibri"/>
        <family val="2"/>
        <scheme val="minor"/>
      </rPr>
      <t xml:space="preserve">.    If a Project has a duplicate Task, is highlighted in </t>
    </r>
    <r>
      <rPr>
        <b/>
        <sz val="11"/>
        <color theme="1"/>
        <rFont val="Calibri"/>
        <family val="2"/>
        <scheme val="minor"/>
      </rPr>
      <t>RED.</t>
    </r>
  </si>
  <si>
    <t xml:space="preserve">Project Follow-up </t>
  </si>
  <si>
    <t>Ana</t>
  </si>
  <si>
    <t>Schedule:</t>
  </si>
  <si>
    <t>Scrolling bar:</t>
  </si>
  <si>
    <t>Task 2</t>
  </si>
  <si>
    <t>Task 3</t>
  </si>
  <si>
    <t>Task 4</t>
  </si>
  <si>
    <t>Task 5</t>
  </si>
  <si>
    <t>Task 6</t>
  </si>
  <si>
    <t>Task 7</t>
  </si>
  <si>
    <t>Task 8</t>
  </si>
  <si>
    <t>Task 9</t>
  </si>
  <si>
    <t>Task 10</t>
  </si>
  <si>
    <t>App</t>
  </si>
  <si>
    <t>Software</t>
  </si>
  <si>
    <t>Web</t>
  </si>
  <si>
    <t>Infraestructure</t>
  </si>
  <si>
    <t>VDI</t>
  </si>
  <si>
    <t xml:space="preserve">Bruno </t>
  </si>
  <si>
    <t>Pedro</t>
  </si>
  <si>
    <t>Juan</t>
  </si>
  <si>
    <t>Maria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</si>
</sst>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800]dddd\,\ mmmm\ dd\,\ yyyy"/>
    <numFmt numFmtId="165" formatCode="#,##0.0,,&quot;M&quot;"/>
    <numFmt numFmtId="166" formatCode="d/mm/yyyy"/>
    <numFmt numFmtId="167" formatCode="#,##0\ &quot;€&quot;"/>
  </numFmts>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1"/>
      <color theme="1"/>
      <name val="Segoe UI"/>
      <family val="2"/>
    </font>
    <font>
      <sz val="11"/>
      <color theme="0"/>
      <name val="Segoe UI"/>
      <family val="2"/>
    </font>
    <font>
      <sz val="12"/>
      <color theme="0"/>
      <name val="Calibri"/>
      <family val="2"/>
      <scheme val="minor"/>
    </font>
    <font>
      <sz val="11"/>
      <name val="Calibri"/>
      <family val="2"/>
      <scheme val="minor"/>
    </font>
    <font>
      <b/>
      <sz val="14"/>
      <color theme="0"/>
      <name val="Segoe UI"/>
      <family val="2"/>
    </font>
    <font>
      <b/>
      <sz val="18"/>
      <color theme="0"/>
      <name val="Segoe UI"/>
      <family val="2"/>
    </font>
    <font>
      <b/>
      <sz val="16"/>
      <color theme="0"/>
      <name val="Segoe UI"/>
      <family val="2"/>
    </font>
    <font>
      <b/>
      <sz val="18"/>
      <color theme="0"/>
      <name val="Calibri"/>
      <family val="2"/>
      <scheme val="minor"/>
    </font>
    <font>
      <sz val="10.5"/>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6" tint="-0.249977111117893"/>
        <bgColor indexed="64"/>
      </patternFill>
    </fill>
  </fills>
  <borders count="4">
    <border>
      <left/>
      <right/>
      <top/>
      <bottom/>
      <diagonal/>
    </border>
    <border>
      <left/>
      <right/>
      <top/>
      <bottom style="thin">
        <color indexed="64"/>
      </bottom>
      <diagonal/>
    </border>
    <border>
      <left style="thin">
        <color theme="0"/>
      </left>
      <right style="thin">
        <color theme="0"/>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47">
    <xf numFmtId="0" fontId="0" fillId="0" borderId="0" xfId="0"/>
    <xf numFmtId="14" fontId="0" fillId="0" borderId="0" xfId="0" applyNumberFormat="1"/>
    <xf numFmtId="9" fontId="0" fillId="0" borderId="0" xfId="1" applyFont="1"/>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center"/>
    </xf>
    <xf numFmtId="16" fontId="0" fillId="0" borderId="0" xfId="0" applyNumberFormat="1" applyAlignment="1">
      <alignment vertical="center"/>
    </xf>
    <xf numFmtId="0" fontId="0" fillId="0" borderId="0" xfId="0" applyAlignment="1">
      <alignment vertical="center"/>
    </xf>
    <xf numFmtId="9" fontId="0" fillId="0" borderId="0" xfId="0" applyNumberFormat="1"/>
    <xf numFmtId="3" fontId="0" fillId="0" borderId="0" xfId="0" applyNumberFormat="1" applyAlignment="1">
      <alignment horizontal="center"/>
    </xf>
    <xf numFmtId="16" fontId="0" fillId="0" borderId="0" xfId="0" pivotButton="1" applyNumberFormat="1" applyAlignment="1">
      <alignment vertical="center"/>
    </xf>
    <xf numFmtId="9" fontId="0" fillId="0" borderId="0" xfId="1" applyFont="1" applyAlignment="1"/>
    <xf numFmtId="9" fontId="0" fillId="0" borderId="0" xfId="1" applyFont="1" applyBorder="1" applyAlignment="1"/>
    <xf numFmtId="0" fontId="2" fillId="0" borderId="0" xfId="0" applyFont="1"/>
    <xf numFmtId="0" fontId="4" fillId="0" borderId="0" xfId="0" applyFont="1" applyAlignment="1">
      <alignment horizontal="right" vertical="top"/>
    </xf>
    <xf numFmtId="164" fontId="0" fillId="0" borderId="0" xfId="0" applyNumberFormat="1"/>
    <xf numFmtId="16" fontId="0" fillId="2" borderId="2" xfId="0" applyNumberFormat="1" applyFill="1" applyBorder="1" applyAlignment="1">
      <alignment vertical="center"/>
    </xf>
    <xf numFmtId="165" fontId="0" fillId="0" borderId="0" xfId="0" applyNumberFormat="1"/>
    <xf numFmtId="0" fontId="0" fillId="0" borderId="1" xfId="0" applyBorder="1" applyAlignment="1">
      <alignment horizontal="center"/>
    </xf>
    <xf numFmtId="0" fontId="0" fillId="0" borderId="1" xfId="0" applyBorder="1" applyAlignment="1">
      <alignment vertical="center"/>
    </xf>
    <xf numFmtId="9" fontId="0" fillId="0" borderId="0" xfId="1" applyFont="1" applyAlignment="1">
      <alignment horizontal="center"/>
    </xf>
    <xf numFmtId="0" fontId="2" fillId="0" borderId="0" xfId="0" applyFont="1" applyAlignment="1">
      <alignment horizontal="center"/>
    </xf>
    <xf numFmtId="0" fontId="2" fillId="0" borderId="0" xfId="0" applyFont="1" applyAlignment="1">
      <alignment horizontal="left"/>
    </xf>
    <xf numFmtId="0" fontId="2" fillId="0" borderId="1" xfId="0" applyFont="1" applyBorder="1" applyAlignment="1">
      <alignment vertical="center"/>
    </xf>
    <xf numFmtId="0" fontId="2" fillId="0" borderId="1" xfId="0" applyFont="1" applyBorder="1"/>
    <xf numFmtId="166" fontId="0" fillId="0" borderId="0" xfId="0" applyNumberFormat="1"/>
    <xf numFmtId="167" fontId="0" fillId="0" borderId="0" xfId="0" applyNumberFormat="1"/>
    <xf numFmtId="0" fontId="3" fillId="4" borderId="0" xfId="0" applyFont="1" applyFill="1"/>
    <xf numFmtId="0" fontId="5" fillId="4" borderId="0" xfId="0" applyFont="1" applyFill="1" applyAlignment="1">
      <alignment horizontal="center" vertical="center"/>
    </xf>
    <xf numFmtId="167" fontId="5" fillId="4" borderId="0" xfId="1" applyNumberFormat="1" applyFont="1" applyFill="1" applyAlignment="1">
      <alignment horizontal="left" vertical="center"/>
    </xf>
    <xf numFmtId="167" fontId="5" fillId="4" borderId="0" xfId="1" applyNumberFormat="1" applyFont="1" applyFill="1" applyAlignment="1">
      <alignment horizontal="center" vertical="center"/>
    </xf>
    <xf numFmtId="0" fontId="6" fillId="4" borderId="0" xfId="0" applyFont="1" applyFill="1" applyAlignment="1">
      <alignment vertical="center"/>
    </xf>
    <xf numFmtId="0" fontId="9" fillId="4" borderId="0" xfId="0" applyFont="1" applyFill="1" applyAlignment="1">
      <alignment vertical="center"/>
    </xf>
    <xf numFmtId="0" fontId="10" fillId="4" borderId="0" xfId="1" applyNumberFormat="1" applyFont="1" applyFill="1" applyAlignment="1">
      <alignment horizontal="left" vertical="center"/>
    </xf>
    <xf numFmtId="0" fontId="8" fillId="4" borderId="0" xfId="0" applyFont="1" applyFill="1" applyAlignment="1">
      <alignment vertical="center"/>
    </xf>
    <xf numFmtId="14" fontId="11" fillId="4" borderId="0" xfId="0" applyNumberFormat="1" applyFont="1" applyFill="1" applyAlignment="1">
      <alignment horizontal="center"/>
    </xf>
    <xf numFmtId="0" fontId="12" fillId="0" borderId="0" xfId="0" applyFont="1" applyAlignment="1">
      <alignment wrapText="1"/>
    </xf>
    <xf numFmtId="0" fontId="7" fillId="0" borderId="0" xfId="0" applyFont="1"/>
    <xf numFmtId="0" fontId="0" fillId="3" borderId="3" xfId="0" applyFill="1" applyBorder="1" applyAlignment="1">
      <alignment horizontal="center" wrapText="1"/>
    </xf>
    <xf numFmtId="0" fontId="0" fillId="0" borderId="1" xfId="0" pivotButton="1" applyFont="1" applyBorder="1" applyAlignment="1">
      <alignment vertical="center"/>
    </xf>
    <xf numFmtId="0" fontId="0" fillId="0" borderId="1" xfId="0" pivotButton="1" applyFont="1" applyBorder="1" applyAlignment="1">
      <alignment horizontal="left" vertical="center"/>
    </xf>
    <xf numFmtId="0" fontId="0" fillId="0" borderId="0" xfId="0" applyAlignment="1"/>
    <xf numFmtId="167" fontId="0" fillId="0" borderId="1" xfId="0" applyNumberFormat="1" applyFont="1" applyBorder="1" applyAlignment="1">
      <alignment horizontal="right" vertical="center"/>
    </xf>
    <xf numFmtId="14" fontId="0" fillId="0" borderId="0" xfId="0" applyNumberFormat="1" applyFont="1"/>
    <xf numFmtId="0" fontId="0" fillId="0" borderId="0" xfId="0" applyNumberFormat="1"/>
  </cellXfs>
  <cellStyles count="2">
    <cellStyle name="Normal" xfId="0" builtinId="0"/>
    <cellStyle name="Porcentaje" xfId="1" builtinId="5"/>
  </cellStyles>
  <dxfs count="73">
    <dxf>
      <font>
        <b val="0"/>
        <i val="0"/>
        <strike val="0"/>
        <condense val="0"/>
        <extend val="0"/>
        <outline val="0"/>
        <shadow val="0"/>
        <u val="none"/>
        <vertAlign val="baseline"/>
        <sz val="11"/>
        <color theme="1"/>
        <name val="Calibri"/>
        <family val="2"/>
        <scheme val="minor"/>
      </font>
      <numFmt numFmtId="13" formatCode="0%"/>
    </dxf>
    <dxf>
      <numFmt numFmtId="166" formatCode="d/mm/yyyy"/>
    </dxf>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border>
        <bottom style="thin">
          <color auto="1"/>
        </bottom>
        <vertical/>
        <horizontal/>
      </border>
    </dxf>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numFmt numFmtId="3" formatCode="#,##0"/>
    </dxf>
    <dxf>
      <numFmt numFmtId="3" formatCode="#,##0"/>
    </dxf>
    <dxf>
      <numFmt numFmtId="3" formatCode="#,##0"/>
    </dxf>
    <dxf>
      <numFmt numFmtId="0" formatCode="General"/>
    </dxf>
    <dxf>
      <numFmt numFmtId="166" formatCode="d/mm/yyyy"/>
    </dxf>
    <dxf>
      <font>
        <color auto="1"/>
      </font>
      <fill>
        <patternFill patternType="none">
          <fgColor indexed="64"/>
          <bgColor indexed="65"/>
        </patternFill>
      </fill>
    </dxf>
    <dxf>
      <font>
        <color auto="1"/>
      </font>
      <fill>
        <patternFill patternType="none">
          <fgColor indexed="64"/>
          <bgColor indexed="65"/>
        </patternFill>
      </fill>
    </dxf>
    <dxf>
      <font>
        <b val="0"/>
      </font>
    </dxf>
    <dxf>
      <numFmt numFmtId="167" formatCode="#,##0\ &quot;€&quot;"/>
    </dxf>
    <dxf>
      <numFmt numFmtId="167" formatCode="#,##0\ &quot;€&quot;"/>
    </dxf>
    <dxf>
      <alignment horizontal="center"/>
    </dxf>
    <dxf>
      <alignment horizontal="center"/>
    </dxf>
    <dxf>
      <alignment horizontal="general"/>
    </dxf>
    <dxf>
      <alignment horizontal="general"/>
    </dxf>
    <dxf>
      <alignment horizontal="left"/>
    </dxf>
    <dxf>
      <alignment horizontal="lef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b val="0"/>
      </font>
    </dxf>
    <dxf>
      <font>
        <b val="0"/>
      </font>
    </dxf>
    <dxf>
      <font>
        <b val="0"/>
      </font>
    </dxf>
    <dxf>
      <font>
        <b val="0"/>
      </font>
    </dxf>
    <dxf>
      <font>
        <b val="0"/>
      </font>
    </dxf>
    <dxf>
      <font>
        <b val="0"/>
      </font>
    </dxf>
    <dxf>
      <font>
        <b val="0"/>
      </font>
    </dxf>
    <dxf>
      <font>
        <b val="0"/>
      </font>
    </dxf>
    <dxf>
      <font>
        <b val="0"/>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font>
    </dxf>
    <dxf>
      <font>
        <b/>
      </font>
    </dxf>
    <dxf>
      <font>
        <b/>
      </font>
    </dxf>
    <dxf>
      <font>
        <b/>
      </font>
    </dxf>
    <dxf>
      <font>
        <b/>
      </font>
    </dxf>
    <dxf>
      <font>
        <b/>
      </font>
    </dxf>
    <dxf>
      <font>
        <b/>
      </font>
    </dxf>
    <dxf>
      <font>
        <b/>
      </font>
    </dxf>
    <dxf>
      <font>
        <b/>
      </font>
    </dxf>
    <dxf>
      <alignment horizontal="left"/>
    </dxf>
    <dxf>
      <alignment horizontal="left"/>
    </dxf>
    <dxf>
      <alignment horizontal="left"/>
    </dxf>
    <dxf>
      <alignment horizontal="left"/>
    </dxf>
    <dxf>
      <alignment horizontal="left"/>
    </dxf>
    <dxf>
      <alignment horizontal="right"/>
    </dxf>
    <dxf>
      <font>
        <b/>
        <color theme="1"/>
      </font>
      <border>
        <bottom style="thin">
          <color theme="8"/>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No Border" pivot="0" table="0" count="10" xr9:uid="{EEEA172B-89F3-489D-B80E-D598FE9BFA19}">
      <tableStyleElement type="wholeTable" dxfId="72"/>
      <tableStyleElement type="headerRow" dxfId="71"/>
    </tableStyle>
  </tableStyles>
  <colors>
    <mruColors>
      <color rgb="FFFF7D7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5">
        <x14:slicerStyle name="No 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983245018900938"/>
          <c:y val="0.34339216218662316"/>
          <c:w val="0.45387741626636291"/>
          <c:h val="0.62212507919268711"/>
        </c:manualLayout>
      </c:layout>
      <c:doughnutChart>
        <c:varyColors val="1"/>
        <c:ser>
          <c:idx val="0"/>
          <c:order val="0"/>
          <c:spPr>
            <a:solidFill>
              <a:schemeClr val="accent6">
                <a:lumMod val="60000"/>
                <a:lumOff val="40000"/>
              </a:schemeClr>
            </a:solidFill>
          </c:spPr>
          <c:dPt>
            <c:idx val="0"/>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1-C421-4E68-8224-5224CC7ECE7A}"/>
              </c:ext>
            </c:extLst>
          </c:dPt>
          <c:dPt>
            <c:idx val="1"/>
            <c:bubble3D val="0"/>
            <c:spPr>
              <a:solidFill>
                <a:srgbClr val="FF7D7D"/>
              </a:solidFill>
              <a:ln w="19050">
                <a:solidFill>
                  <a:schemeClr val="lt1"/>
                </a:solidFill>
              </a:ln>
              <a:effectLst/>
            </c:spPr>
            <c:extLst>
              <c:ext xmlns:c16="http://schemas.microsoft.com/office/drawing/2014/chart" uri="{C3380CC4-5D6E-409C-BE32-E72D297353CC}">
                <c16:uniqueId val="{00000003-C421-4E68-8224-5224CC7ECE7A}"/>
              </c:ext>
            </c:extLst>
          </c:dPt>
          <c:cat>
            <c:strRef>
              <c:f>'Workings dashboard'!$B$2:$C$2</c:f>
              <c:strCache>
                <c:ptCount val="2"/>
                <c:pt idx="0">
                  <c:v>Actual </c:v>
                </c:pt>
                <c:pt idx="1">
                  <c:v>Budget </c:v>
                </c:pt>
              </c:strCache>
            </c:strRef>
          </c:cat>
          <c:val>
            <c:numRef>
              <c:f>'Workings dashboard'!$B$4:$C$4</c:f>
              <c:numCache>
                <c:formatCode>0%</c:formatCode>
                <c:ptCount val="2"/>
                <c:pt idx="0">
                  <c:v>0.48242424242424242</c:v>
                </c:pt>
                <c:pt idx="1">
                  <c:v>0.51757575757575758</c:v>
                </c:pt>
              </c:numCache>
            </c:numRef>
          </c:val>
          <c:extLst>
            <c:ext xmlns:c16="http://schemas.microsoft.com/office/drawing/2014/chart" uri="{C3380CC4-5D6E-409C-BE32-E72D297353CC}">
              <c16:uniqueId val="{00000004-C421-4E68-8224-5224CC7ECE7A}"/>
            </c:ext>
          </c:extLst>
        </c:ser>
        <c:dLbls>
          <c:showLegendKey val="0"/>
          <c:showVal val="0"/>
          <c:showCatName val="0"/>
          <c:showSerName val="0"/>
          <c:showPercent val="0"/>
          <c:showBubbleSize val="0"/>
          <c:showLeaderLines val="1"/>
        </c:dLbls>
        <c:firstSliceAng val="0"/>
        <c:holeSize val="5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[Project_Portfolio_Controller.xlsm]Workings dashboard!Budget_v_Actual</c:name>
    <c:fmtId val="21"/>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AU" sz="1200">
                <a:solidFill>
                  <a:schemeClr val="bg1"/>
                </a:solidFill>
                <a:latin typeface="Segoe UI" panose="020B0502040204020203" pitchFamily="34" charset="0"/>
                <a:cs typeface="Segoe UI" panose="020B0502040204020203" pitchFamily="34" charset="0"/>
              </a:rPr>
              <a:t>BUDGET VS ACTUAL</a:t>
            </a:r>
          </a:p>
        </c:rich>
      </c:tx>
      <c:layout>
        <c:manualLayout>
          <c:xMode val="edge"/>
          <c:yMode val="edge"/>
          <c:x val="5.0000167978861539E-2"/>
          <c:y val="9.0735482882157978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no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2"/>
        <c:spPr>
          <a:no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3896382517402708"/>
                  <c:h val="0.16189814814814815"/>
                </c:manualLayout>
              </c15:layout>
            </c:ext>
          </c:extLst>
        </c:dLbl>
      </c:pivotFmt>
      <c:pivotFmt>
        <c:idx val="3"/>
        <c:spPr>
          <a:solidFill>
            <a:schemeClr val="accent5">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4425729392521582"/>
                  <c:h val="0.11560185185185186"/>
                </c:manualLayout>
              </c15:layout>
            </c:ext>
          </c:extLst>
        </c:dLbl>
      </c:pivotFmt>
      <c:pivotFmt>
        <c:idx val="4"/>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5"/>
        <c:spPr>
          <a:solidFill>
            <a:schemeClr val="accent5">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4425729392521582"/>
                  <c:h val="0.11560185185185186"/>
                </c:manualLayout>
              </c15:layout>
            </c:ext>
          </c:extLst>
        </c:dLbl>
      </c:pivotFmt>
      <c:pivotFmt>
        <c:idx val="6"/>
        <c:spPr>
          <a:no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7"/>
        <c:spPr>
          <a:no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3896382517402708"/>
                  <c:h val="0.16189814814814815"/>
                </c:manualLayout>
              </c15:layout>
            </c:ext>
          </c:extLst>
        </c:dLbl>
      </c:pivotFmt>
      <c:pivotFmt>
        <c:idx val="8"/>
        <c:spPr>
          <a:solidFill>
            <a:schemeClr val="accent6">
              <a:lumMod val="40000"/>
              <a:lumOff val="6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9"/>
        <c:spPr>
          <a:solidFill>
            <a:schemeClr val="accent6">
              <a:lumMod val="40000"/>
              <a:lumOff val="60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74695964965925221"/>
                  <c:h val="0.32496830203916816"/>
                </c:manualLayout>
              </c15:layout>
            </c:ext>
          </c:extLst>
        </c:dLbl>
      </c:pivotFmt>
      <c:pivotFmt>
        <c:idx val="10"/>
        <c:spPr>
          <a:noFill/>
          <a:ln w="25400">
            <a:solidFill>
              <a:srgbClr val="FF7D7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11"/>
        <c:spPr>
          <a:noFill/>
          <a:ln w="25400">
            <a:solidFill>
              <a:srgbClr val="FF7D7D"/>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84315575297659517"/>
                  <c:h val="0.2831108419139915"/>
                </c:manualLayout>
              </c15:layout>
            </c:ext>
          </c:extLst>
        </c:dLbl>
      </c:pivotFmt>
      <c:pivotFmt>
        <c:idx val="12"/>
        <c:spPr>
          <a:solidFill>
            <a:schemeClr val="accent2">
              <a:lumMod val="60000"/>
              <a:lumOff val="4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eparator>
</c:separator>
          <c:extLst>
            <c:ext xmlns:c15="http://schemas.microsoft.com/office/drawing/2012/chart" uri="{CE6537A1-D6FC-4f65-9D91-7224C49458BB}"/>
          </c:extLst>
        </c:dLbl>
      </c:pivotFmt>
      <c:pivotFmt>
        <c:idx val="13"/>
        <c:spPr>
          <a:solidFill>
            <a:schemeClr val="accent2">
              <a:lumMod val="60000"/>
              <a:lumOff val="40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35721634789715495"/>
                  <c:h val="0.32496830203916816"/>
                </c:manualLayout>
              </c15:layout>
            </c:ext>
          </c:extLst>
        </c:dLbl>
      </c:pivotFmt>
      <c:pivotFmt>
        <c:idx val="14"/>
        <c:spPr>
          <a:solidFill>
            <a:srgbClr val="FF7D7D"/>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1"/>
          <c:showPercent val="0"/>
          <c:showBubbleSize val="0"/>
          <c:separator>
</c:separator>
          <c:extLst>
            <c:ext xmlns:c15="http://schemas.microsoft.com/office/drawing/2012/chart" uri="{CE6537A1-D6FC-4f65-9D91-7224C49458BB}"/>
          </c:extLst>
        </c:dLbl>
      </c:pivotFmt>
      <c:pivotFmt>
        <c:idx val="15"/>
        <c:spPr>
          <a:solidFill>
            <a:srgbClr val="FF7D7D"/>
          </a:solidFill>
          <a:ln w="19050">
            <a:noFill/>
          </a:ln>
          <a:effectLst/>
        </c:spPr>
        <c:dLbl>
          <c:idx val="0"/>
          <c:layout>
            <c:manualLayout>
              <c:x val="-4.6153808880428929E-2"/>
              <c:y val="4.0379567938623056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43802791195000046"/>
                  <c:h val="0.2831108419139915"/>
                </c:manualLayout>
              </c15:layout>
            </c:ext>
          </c:extLst>
        </c:dLbl>
      </c:pivotFmt>
    </c:pivotFmts>
    <c:plotArea>
      <c:layout>
        <c:manualLayout>
          <c:layoutTarget val="inner"/>
          <c:xMode val="edge"/>
          <c:yMode val="edge"/>
          <c:x val="6.6666666666666666E-2"/>
          <c:y val="0.33443684502940785"/>
          <c:w val="0.87878787878787878"/>
          <c:h val="0.61463685652432143"/>
        </c:manualLayout>
      </c:layout>
      <c:barChart>
        <c:barDir val="bar"/>
        <c:grouping val="clustered"/>
        <c:varyColors val="0"/>
        <c:ser>
          <c:idx val="0"/>
          <c:order val="0"/>
          <c:tx>
            <c:strRef>
              <c:f>'Workings dashboard'!$B$2</c:f>
              <c:strCache>
                <c:ptCount val="1"/>
                <c:pt idx="0">
                  <c:v>Actual </c:v>
                </c:pt>
              </c:strCache>
            </c:strRef>
          </c:tx>
          <c:spPr>
            <a:solidFill>
              <a:schemeClr val="accent2">
                <a:lumMod val="60000"/>
                <a:lumOff val="40000"/>
              </a:schemeClr>
            </a:solidFill>
            <a:ln w="19050">
              <a:noFill/>
            </a:ln>
            <a:effectLst/>
          </c:spPr>
          <c:invertIfNegative val="0"/>
          <c:dPt>
            <c:idx val="0"/>
            <c:invertIfNegative val="0"/>
            <c:bubble3D val="0"/>
            <c:spPr>
              <a:solidFill>
                <a:schemeClr val="accent2">
                  <a:lumMod val="60000"/>
                  <a:lumOff val="40000"/>
                </a:schemeClr>
              </a:solidFill>
              <a:ln w="19050">
                <a:noFill/>
              </a:ln>
              <a:effectLst/>
            </c:spPr>
            <c:extLst>
              <c:ext xmlns:c16="http://schemas.microsoft.com/office/drawing/2014/chart" uri="{C3380CC4-5D6E-409C-BE32-E72D297353CC}">
                <c16:uniqueId val="{00000000-3E89-438F-9816-332D1E0E14DC}"/>
              </c:ext>
            </c:extLst>
          </c:dPt>
          <c:dLbls>
            <c:dLbl>
              <c:idx val="0"/>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35721634789715495"/>
                      <c:h val="0.32496830203916816"/>
                    </c:manualLayout>
                  </c15:layout>
                </c:ext>
                <c:ext xmlns:c16="http://schemas.microsoft.com/office/drawing/2014/chart" uri="{C3380CC4-5D6E-409C-BE32-E72D297353CC}">
                  <c16:uniqueId val="{00000000-3E89-438F-9816-332D1E0E14DC}"/>
                </c:ext>
              </c:extLst>
            </c:dLbl>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 dashboard'!$B$3</c:f>
              <c:strCache>
                <c:ptCount val="1"/>
                <c:pt idx="0">
                  <c:v>Total</c:v>
                </c:pt>
              </c:strCache>
            </c:strRef>
          </c:cat>
          <c:val>
            <c:numRef>
              <c:f>'Workings dashboard'!$B$3</c:f>
              <c:numCache>
                <c:formatCode>#,##0.0,,"M"</c:formatCode>
                <c:ptCount val="1"/>
                <c:pt idx="0">
                  <c:v>3980000</c:v>
                </c:pt>
              </c:numCache>
            </c:numRef>
          </c:val>
          <c:extLst>
            <c:ext xmlns:c16="http://schemas.microsoft.com/office/drawing/2014/chart" uri="{C3380CC4-5D6E-409C-BE32-E72D297353CC}">
              <c16:uniqueId val="{00000001-3E89-438F-9816-332D1E0E14DC}"/>
            </c:ext>
          </c:extLst>
        </c:ser>
        <c:ser>
          <c:idx val="1"/>
          <c:order val="1"/>
          <c:tx>
            <c:strRef>
              <c:f>'Workings dashboard'!$C$2</c:f>
              <c:strCache>
                <c:ptCount val="1"/>
                <c:pt idx="0">
                  <c:v>Budget </c:v>
                </c:pt>
              </c:strCache>
            </c:strRef>
          </c:tx>
          <c:spPr>
            <a:solidFill>
              <a:srgbClr val="FF7D7D"/>
            </a:solidFill>
            <a:ln w="19050">
              <a:noFill/>
            </a:ln>
            <a:effectLst/>
          </c:spPr>
          <c:invertIfNegative val="0"/>
          <c:dPt>
            <c:idx val="0"/>
            <c:invertIfNegative val="0"/>
            <c:bubble3D val="0"/>
            <c:spPr>
              <a:solidFill>
                <a:srgbClr val="FF7D7D"/>
              </a:solidFill>
              <a:ln w="19050">
                <a:noFill/>
              </a:ln>
              <a:effectLst/>
            </c:spPr>
            <c:extLst>
              <c:ext xmlns:c16="http://schemas.microsoft.com/office/drawing/2014/chart" uri="{C3380CC4-5D6E-409C-BE32-E72D297353CC}">
                <c16:uniqueId val="{00000002-3E89-438F-9816-332D1E0E14DC}"/>
              </c:ext>
            </c:extLst>
          </c:dPt>
          <c:dLbls>
            <c:dLbl>
              <c:idx val="0"/>
              <c:layout>
                <c:manualLayout>
                  <c:x val="-4.6153808880428929E-2"/>
                  <c:y val="4.0379567938623056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43802791195000046"/>
                      <c:h val="0.2831108419139915"/>
                    </c:manualLayout>
                  </c15:layout>
                </c:ext>
                <c:ext xmlns:c16="http://schemas.microsoft.com/office/drawing/2014/chart" uri="{C3380CC4-5D6E-409C-BE32-E72D297353CC}">
                  <c16:uniqueId val="{00000002-3E89-438F-9816-332D1E0E14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 dashboard'!$B$3</c:f>
              <c:strCache>
                <c:ptCount val="1"/>
                <c:pt idx="0">
                  <c:v>Total</c:v>
                </c:pt>
              </c:strCache>
            </c:strRef>
          </c:cat>
          <c:val>
            <c:numRef>
              <c:f>'Workings dashboard'!$C$3</c:f>
              <c:numCache>
                <c:formatCode>#,##0.0,,"M"</c:formatCode>
                <c:ptCount val="1"/>
                <c:pt idx="0">
                  <c:v>8250000</c:v>
                </c:pt>
              </c:numCache>
            </c:numRef>
          </c:val>
          <c:extLst>
            <c:ext xmlns:c16="http://schemas.microsoft.com/office/drawing/2014/chart" uri="{C3380CC4-5D6E-409C-BE32-E72D297353CC}">
              <c16:uniqueId val="{00000003-3E89-438F-9816-332D1E0E14DC}"/>
            </c:ext>
          </c:extLst>
        </c:ser>
        <c:dLbls>
          <c:dLblPos val="inEnd"/>
          <c:showLegendKey val="0"/>
          <c:showVal val="1"/>
          <c:showCatName val="0"/>
          <c:showSerName val="0"/>
          <c:showPercent val="0"/>
          <c:showBubbleSize val="0"/>
        </c:dLbls>
        <c:gapWidth val="50"/>
        <c:overlap val="-30"/>
        <c:axId val="1464775599"/>
        <c:axId val="1415323359"/>
      </c:barChart>
      <c:catAx>
        <c:axId val="1464775599"/>
        <c:scaling>
          <c:orientation val="minMax"/>
        </c:scaling>
        <c:delete val="1"/>
        <c:axPos val="l"/>
        <c:numFmt formatCode="General" sourceLinked="1"/>
        <c:majorTickMark val="out"/>
        <c:minorTickMark val="none"/>
        <c:tickLblPos val="nextTo"/>
        <c:crossAx val="1415323359"/>
        <c:crosses val="autoZero"/>
        <c:auto val="1"/>
        <c:lblAlgn val="ctr"/>
        <c:lblOffset val="100"/>
        <c:noMultiLvlLbl val="0"/>
      </c:catAx>
      <c:valAx>
        <c:axId val="1415323359"/>
        <c:scaling>
          <c:orientation val="minMax"/>
        </c:scaling>
        <c:delete val="1"/>
        <c:axPos val="b"/>
        <c:numFmt formatCode="#,##0.0,,&quot;M&quot;" sourceLinked="1"/>
        <c:majorTickMark val="out"/>
        <c:minorTickMark val="none"/>
        <c:tickLblPos val="nextTo"/>
        <c:crossAx val="1464775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sz="1200">
                <a:solidFill>
                  <a:schemeClr val="bg1"/>
                </a:solidFill>
                <a:latin typeface="Segoe UI" panose="020B0502040204020203" pitchFamily="34" charset="0"/>
                <a:cs typeface="Segoe UI" panose="020B0502040204020203" pitchFamily="34" charset="0"/>
              </a:rPr>
              <a:t>TASK PROGRESS</a:t>
            </a:r>
          </a:p>
        </c:rich>
      </c:tx>
      <c:layout>
        <c:manualLayout>
          <c:xMode val="edge"/>
          <c:yMode val="edge"/>
          <c:x val="0.1258138371708849"/>
          <c:y val="7.22477724766295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'Workings dashboard'!$E$2</c:f>
              <c:strCache>
                <c:ptCount val="1"/>
                <c:pt idx="0">
                  <c:v>Not Started</c:v>
                </c:pt>
              </c:strCache>
            </c:strRef>
          </c:tx>
          <c:spPr>
            <a:solidFill>
              <a:schemeClr val="bg1"/>
            </a:solidFill>
            <a:ln w="0">
              <a:solidFill>
                <a:srgbClr val="FF7D7D"/>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dashboard'!$F$2</c:f>
              <c:numCache>
                <c:formatCode>General</c:formatCode>
                <c:ptCount val="1"/>
                <c:pt idx="0">
                  <c:v>4</c:v>
                </c:pt>
              </c:numCache>
            </c:numRef>
          </c:val>
          <c:extLst>
            <c:ext xmlns:c16="http://schemas.microsoft.com/office/drawing/2014/chart" uri="{C3380CC4-5D6E-409C-BE32-E72D297353CC}">
              <c16:uniqueId val="{00000000-B9CD-43E0-8125-26C857049AA3}"/>
            </c:ext>
          </c:extLst>
        </c:ser>
        <c:ser>
          <c:idx val="1"/>
          <c:order val="1"/>
          <c:tx>
            <c:strRef>
              <c:f>'Workings dashboard'!$E$3</c:f>
              <c:strCache>
                <c:ptCount val="1"/>
                <c:pt idx="0">
                  <c:v>In Progress</c:v>
                </c:pt>
              </c:strCache>
            </c:strRef>
          </c:tx>
          <c:spPr>
            <a:solidFill>
              <a:srgbClr val="FF7D7D"/>
            </a:solidFill>
            <a:ln w="15875">
              <a:solidFill>
                <a:srgbClr val="FF7D7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dashboard'!$F$3</c:f>
              <c:numCache>
                <c:formatCode>General</c:formatCode>
                <c:ptCount val="1"/>
                <c:pt idx="0">
                  <c:v>33</c:v>
                </c:pt>
              </c:numCache>
            </c:numRef>
          </c:val>
          <c:extLst>
            <c:ext xmlns:c16="http://schemas.microsoft.com/office/drawing/2014/chart" uri="{C3380CC4-5D6E-409C-BE32-E72D297353CC}">
              <c16:uniqueId val="{00000001-B9CD-43E0-8125-26C857049AA3}"/>
            </c:ext>
          </c:extLst>
        </c:ser>
        <c:ser>
          <c:idx val="2"/>
          <c:order val="2"/>
          <c:tx>
            <c:strRef>
              <c:f>'Workings dashboard'!$E$4</c:f>
              <c:strCache>
                <c:ptCount val="1"/>
                <c:pt idx="0">
                  <c:v>Completed</c:v>
                </c:pt>
              </c:strCache>
            </c:strRef>
          </c:tx>
          <c:spPr>
            <a:solidFill>
              <a:schemeClr val="accent2">
                <a:lumMod val="60000"/>
                <a:lumOff val="40000"/>
              </a:schemeClr>
            </a:solidFill>
            <a:ln w="15875">
              <a:solidFill>
                <a:schemeClr val="accent2">
                  <a:lumMod val="60000"/>
                  <a:lumOff val="40000"/>
                </a:schemeClr>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dashboard'!$F$4</c:f>
              <c:numCache>
                <c:formatCode>General</c:formatCode>
                <c:ptCount val="1"/>
                <c:pt idx="0">
                  <c:v>3</c:v>
                </c:pt>
              </c:numCache>
            </c:numRef>
          </c:val>
          <c:extLst>
            <c:ext xmlns:c16="http://schemas.microsoft.com/office/drawing/2014/chart" uri="{C3380CC4-5D6E-409C-BE32-E72D297353CC}">
              <c16:uniqueId val="{00000002-B9CD-43E0-8125-26C857049AA3}"/>
            </c:ext>
          </c:extLst>
        </c:ser>
        <c:dLbls>
          <c:dLblPos val="ctr"/>
          <c:showLegendKey val="0"/>
          <c:showVal val="1"/>
          <c:showCatName val="0"/>
          <c:showSerName val="0"/>
          <c:showPercent val="0"/>
          <c:showBubbleSize val="0"/>
        </c:dLbls>
        <c:gapWidth val="0"/>
        <c:overlap val="100"/>
        <c:axId val="1614655279"/>
        <c:axId val="1903939599"/>
      </c:barChart>
      <c:catAx>
        <c:axId val="1614655279"/>
        <c:scaling>
          <c:orientation val="minMax"/>
        </c:scaling>
        <c:delete val="1"/>
        <c:axPos val="l"/>
        <c:numFmt formatCode="General" sourceLinked="1"/>
        <c:majorTickMark val="none"/>
        <c:minorTickMark val="none"/>
        <c:tickLblPos val="nextTo"/>
        <c:crossAx val="1903939599"/>
        <c:crosses val="autoZero"/>
        <c:auto val="1"/>
        <c:lblAlgn val="ctr"/>
        <c:lblOffset val="100"/>
        <c:noMultiLvlLbl val="0"/>
      </c:catAx>
      <c:valAx>
        <c:axId val="1903939599"/>
        <c:scaling>
          <c:orientation val="minMax"/>
        </c:scaling>
        <c:delete val="1"/>
        <c:axPos val="b"/>
        <c:numFmt formatCode="General" sourceLinked="1"/>
        <c:majorTickMark val="out"/>
        <c:minorTickMark val="none"/>
        <c:tickLblPos val="nextTo"/>
        <c:crossAx val="1614655279"/>
        <c:crosses val="autoZero"/>
        <c:crossBetween val="between"/>
      </c:valAx>
      <c:spPr>
        <a:noFill/>
        <a:ln>
          <a:noFill/>
        </a:ln>
        <a:effectLst/>
      </c:spPr>
    </c:plotArea>
    <c:legend>
      <c:legendPos val="t"/>
      <c:layout>
        <c:manualLayout>
          <c:xMode val="edge"/>
          <c:yMode val="edge"/>
          <c:x val="0"/>
          <c:y val="0.33184683043888474"/>
          <c:w val="0.73805683450224535"/>
          <c:h val="0.226132355284219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1590909251872"/>
          <c:y val="0.38497187851518555"/>
          <c:w val="0.50735689380788573"/>
          <c:h val="0.5372013498312711"/>
        </c:manualLayout>
      </c:layout>
      <c:doughnutChart>
        <c:varyColors val="1"/>
        <c:ser>
          <c:idx val="0"/>
          <c:order val="0"/>
          <c:spPr>
            <a:solidFill>
              <a:schemeClr val="accent6">
                <a:lumMod val="60000"/>
                <a:lumOff val="40000"/>
              </a:schemeClr>
            </a:solidFill>
          </c:spPr>
          <c:dPt>
            <c:idx val="0"/>
            <c:bubble3D val="0"/>
            <c:spPr>
              <a:solidFill>
                <a:schemeClr val="accent2">
                  <a:lumMod val="60000"/>
                  <a:lumOff val="40000"/>
                </a:schemeClr>
              </a:solidFill>
              <a:ln w="19050">
                <a:solidFill>
                  <a:schemeClr val="bg1"/>
                </a:solidFill>
              </a:ln>
              <a:effectLst/>
            </c:spPr>
            <c:extLst>
              <c:ext xmlns:c16="http://schemas.microsoft.com/office/drawing/2014/chart" uri="{C3380CC4-5D6E-409C-BE32-E72D297353CC}">
                <c16:uniqueId val="{00000001-E6BB-4A60-8AE5-B5D8FD709D8D}"/>
              </c:ext>
            </c:extLst>
          </c:dPt>
          <c:dPt>
            <c:idx val="1"/>
            <c:bubble3D val="0"/>
            <c:spPr>
              <a:solidFill>
                <a:srgbClr val="FF7D7D"/>
              </a:solidFill>
              <a:ln w="19050">
                <a:solidFill>
                  <a:schemeClr val="bg1"/>
                </a:solidFill>
              </a:ln>
              <a:effectLst/>
            </c:spPr>
            <c:extLst>
              <c:ext xmlns:c16="http://schemas.microsoft.com/office/drawing/2014/chart" uri="{C3380CC4-5D6E-409C-BE32-E72D297353CC}">
                <c16:uniqueId val="{00000003-E6BB-4A60-8AE5-B5D8FD709D8D}"/>
              </c:ext>
            </c:extLst>
          </c:dPt>
          <c:cat>
            <c:strRef>
              <c:f>'Workings dashboard'!$L$3:$L$4</c:f>
              <c:strCache>
                <c:ptCount val="2"/>
                <c:pt idx="0">
                  <c:v>Days Completed</c:v>
                </c:pt>
                <c:pt idx="1">
                  <c:v>Days Remaining</c:v>
                </c:pt>
              </c:strCache>
            </c:strRef>
          </c:cat>
          <c:val>
            <c:numRef>
              <c:f>'Workings dashboard'!$M$3:$M$4</c:f>
              <c:numCache>
                <c:formatCode>0%</c:formatCode>
                <c:ptCount val="2"/>
                <c:pt idx="0">
                  <c:v>0.42105263157894735</c:v>
                </c:pt>
                <c:pt idx="1">
                  <c:v>0.57894736842105265</c:v>
                </c:pt>
              </c:numCache>
            </c:numRef>
          </c:val>
          <c:extLst>
            <c:ext xmlns:c16="http://schemas.microsoft.com/office/drawing/2014/chart" uri="{C3380CC4-5D6E-409C-BE32-E72D297353CC}">
              <c16:uniqueId val="{00000004-E6BB-4A60-8AE5-B5D8FD709D8D}"/>
            </c:ext>
          </c:extLst>
        </c:ser>
        <c:dLbls>
          <c:showLegendKey val="0"/>
          <c:showVal val="0"/>
          <c:showCatName val="0"/>
          <c:showSerName val="0"/>
          <c:showPercent val="0"/>
          <c:showBubbleSize val="0"/>
          <c:showLeaderLines val="0"/>
        </c:dLbls>
        <c:firstSliceAng val="0"/>
        <c:holeSize val="58"/>
      </c:doughnutChart>
      <c:spPr>
        <a:noFill/>
        <a:ln>
          <a:noFill/>
        </a:ln>
        <a:effectLst/>
      </c:spPr>
    </c:plotArea>
    <c:legend>
      <c:legendPos val="t"/>
      <c:layout>
        <c:manualLayout>
          <c:xMode val="edge"/>
          <c:yMode val="edge"/>
          <c:x val="1.9206184374227778E-2"/>
          <c:y val="1.9047619047619049E-2"/>
          <c:w val="0.92560781731413377"/>
          <c:h val="0.30714510686164231"/>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Workings dashboard'!$P$2" horiz="1" max="30" page="7"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5</xdr:col>
      <xdr:colOff>161924</xdr:colOff>
      <xdr:row>1</xdr:row>
      <xdr:rowOff>95250</xdr:rowOff>
    </xdr:from>
    <xdr:to>
      <xdr:col>9</xdr:col>
      <xdr:colOff>136256</xdr:colOff>
      <xdr:row>3</xdr:row>
      <xdr:rowOff>190800</xdr:rowOff>
    </xdr:to>
    <mc:AlternateContent xmlns:mc="http://schemas.openxmlformats.org/markup-compatibility/2006" xmlns:a14="http://schemas.microsoft.com/office/drawing/2010/main">
      <mc:Choice Requires="a14">
        <xdr:graphicFrame macro="">
          <xdr:nvGraphicFramePr>
            <xdr:cNvPr id="8" name="Manager">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3629024" y="523875"/>
              <a:ext cx="3456001" cy="648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1</xdr:row>
      <xdr:rowOff>95250</xdr:rowOff>
    </xdr:from>
    <xdr:to>
      <xdr:col>3</xdr:col>
      <xdr:colOff>372702</xdr:colOff>
      <xdr:row>3</xdr:row>
      <xdr:rowOff>190800</xdr:rowOff>
    </xdr:to>
    <mc:AlternateContent xmlns:mc="http://schemas.openxmlformats.org/markup-compatibility/2006" xmlns:a14="http://schemas.microsoft.com/office/drawing/2010/main">
      <mc:Choice Requires="a14">
        <xdr:graphicFrame macro="">
          <xdr:nvGraphicFramePr>
            <xdr:cNvPr id="3" name="Project">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133350" y="523875"/>
              <a:ext cx="3448716" cy="648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18</xdr:col>
      <xdr:colOff>57152</xdr:colOff>
      <xdr:row>0</xdr:row>
      <xdr:rowOff>0</xdr:rowOff>
    </xdr:from>
    <xdr:to>
      <xdr:col>21</xdr:col>
      <xdr:colOff>171451</xdr:colOff>
      <xdr:row>4</xdr:row>
      <xdr:rowOff>38100</xdr:rowOff>
    </xdr:to>
    <xdr:graphicFrame macro="">
      <xdr:nvGraphicFramePr>
        <xdr:cNvPr id="14" name="Chart 10">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387161</xdr:colOff>
      <xdr:row>0</xdr:row>
      <xdr:rowOff>0</xdr:rowOff>
    </xdr:from>
    <xdr:to>
      <xdr:col>25</xdr:col>
      <xdr:colOff>168088</xdr:colOff>
      <xdr:row>4</xdr:row>
      <xdr:rowOff>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1285875</xdr:colOff>
          <xdr:row>0</xdr:row>
          <xdr:rowOff>95250</xdr:rowOff>
        </xdr:from>
        <xdr:to>
          <xdr:col>9</xdr:col>
          <xdr:colOff>47625</xdr:colOff>
          <xdr:row>0</xdr:row>
          <xdr:rowOff>333375</xdr:rowOff>
        </xdr:to>
        <xdr:sp macro="" textlink="">
          <xdr:nvSpPr>
            <xdr:cNvPr id="1025" name="Scroll Bar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161364</xdr:colOff>
      <xdr:row>0</xdr:row>
      <xdr:rowOff>0</xdr:rowOff>
    </xdr:from>
    <xdr:to>
      <xdr:col>19</xdr:col>
      <xdr:colOff>141753</xdr:colOff>
      <xdr:row>3</xdr:row>
      <xdr:rowOff>246529</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673474</xdr:colOff>
      <xdr:row>0</xdr:row>
      <xdr:rowOff>1</xdr:rowOff>
    </xdr:from>
    <xdr:to>
      <xdr:col>12</xdr:col>
      <xdr:colOff>425823</xdr:colOff>
      <xdr:row>4</xdr:row>
      <xdr:rowOff>22413</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419100</xdr:colOff>
      <xdr:row>2</xdr:row>
      <xdr:rowOff>19050</xdr:rowOff>
    </xdr:from>
    <xdr:to>
      <xdr:col>11</xdr:col>
      <xdr:colOff>428625</xdr:colOff>
      <xdr:row>3</xdr:row>
      <xdr:rowOff>19050</xdr:rowOff>
    </xdr:to>
    <xdr:sp macro="" textlink="'Workings dashboard'!M3">
      <xdr:nvSpPr>
        <xdr:cNvPr id="11" name="TextBox 10">
          <a:extLst>
            <a:ext uri="{FF2B5EF4-FFF2-40B4-BE49-F238E27FC236}">
              <a16:creationId xmlns:a16="http://schemas.microsoft.com/office/drawing/2014/main" id="{00000000-0008-0000-0100-00000B000000}"/>
            </a:ext>
          </a:extLst>
        </xdr:cNvPr>
        <xdr:cNvSpPr txBox="1"/>
      </xdr:nvSpPr>
      <xdr:spPr>
        <a:xfrm>
          <a:off x="7667625" y="723900"/>
          <a:ext cx="4762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74513E5-C66C-4C25-B310-9E0EB8799828}" type="TxLink">
            <a:rPr lang="en-US" sz="1200" b="0" i="0" u="none" strike="noStrike">
              <a:solidFill>
                <a:srgbClr val="000000"/>
              </a:solidFill>
              <a:latin typeface="Calibri"/>
              <a:cs typeface="Calibri"/>
            </a:rPr>
            <a:pPr algn="ctr"/>
            <a:t>42%</a:t>
          </a:fld>
          <a:endParaRPr lang="en-AU" sz="1200">
            <a:latin typeface="Segoe UI" panose="020B0502040204020203" pitchFamily="34" charset="0"/>
            <a:cs typeface="Segoe UI" panose="020B0502040204020203"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0.2327</cdr:x>
      <cdr:y>7.12889E-7</cdr:y>
    </cdr:from>
    <cdr:to>
      <cdr:x>0.79874</cdr:x>
      <cdr:y>0.31235</cdr:y>
    </cdr:to>
    <cdr:sp macro="" textlink="">
      <cdr:nvSpPr>
        <cdr:cNvPr id="2" name="Rectangle 1">
          <a:extLst xmlns:a="http://schemas.openxmlformats.org/drawingml/2006/main">
            <a:ext uri="{FF2B5EF4-FFF2-40B4-BE49-F238E27FC236}">
              <a16:creationId xmlns:a16="http://schemas.microsoft.com/office/drawing/2014/main" id="{0236C271-2FD1-4FE5-9685-D512BBDF9E6D}"/>
            </a:ext>
          </a:extLst>
        </cdr:cNvPr>
        <cdr:cNvSpPr/>
      </cdr:nvSpPr>
      <cdr:spPr>
        <a:xfrm xmlns:a="http://schemas.openxmlformats.org/drawingml/2006/main">
          <a:off x="352419" y="1"/>
          <a:ext cx="857253" cy="4381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AU" sz="1000">
              <a:solidFill>
                <a:schemeClr val="bg1"/>
              </a:solidFill>
              <a:latin typeface="Segoe UI" panose="020B0502040204020203" pitchFamily="34" charset="0"/>
              <a:cs typeface="Segoe UI" panose="020B0502040204020203" pitchFamily="34" charset="0"/>
            </a:rPr>
            <a:t>BUDGET</a:t>
          </a:r>
          <a:r>
            <a:rPr lang="en-AU" sz="1000" baseline="0">
              <a:solidFill>
                <a:schemeClr val="bg1"/>
              </a:solidFill>
              <a:latin typeface="Segoe UI" panose="020B0502040204020203" pitchFamily="34" charset="0"/>
              <a:cs typeface="Segoe UI" panose="020B0502040204020203" pitchFamily="34" charset="0"/>
            </a:rPr>
            <a:t> SPENT</a:t>
          </a:r>
          <a:endParaRPr lang="en-AU" sz="1000">
            <a:solidFill>
              <a:schemeClr val="bg1"/>
            </a:solidFill>
            <a:latin typeface="Segoe UI" panose="020B0502040204020203" pitchFamily="34" charset="0"/>
            <a:cs typeface="Segoe UI" panose="020B0502040204020203" pitchFamily="34" charset="0"/>
          </a:endParaRPr>
        </a:p>
      </cdr:txBody>
    </cdr:sp>
  </cdr:relSizeAnchor>
  <cdr:relSizeAnchor xmlns:cdr="http://schemas.openxmlformats.org/drawingml/2006/chartDrawing">
    <cdr:from>
      <cdr:x>0.33543</cdr:x>
      <cdr:y>0.53369</cdr:y>
    </cdr:from>
    <cdr:to>
      <cdr:x>0.71464</cdr:x>
      <cdr:y>0.77507</cdr:y>
    </cdr:to>
    <cdr:sp macro="" textlink="'Workings dashboard'!$B$4">
      <cdr:nvSpPr>
        <cdr:cNvPr id="4" name="TextBox 1">
          <a:extLst xmlns:a="http://schemas.openxmlformats.org/drawingml/2006/main">
            <a:ext uri="{FF2B5EF4-FFF2-40B4-BE49-F238E27FC236}">
              <a16:creationId xmlns:a16="http://schemas.microsoft.com/office/drawing/2014/main" id="{978FF532-749A-4D49-80B0-B1F7584EF411}"/>
            </a:ext>
          </a:extLst>
        </cdr:cNvPr>
        <cdr:cNvSpPr txBox="1"/>
      </cdr:nvSpPr>
      <cdr:spPr>
        <a:xfrm xmlns:a="http://schemas.openxmlformats.org/drawingml/2006/main">
          <a:off x="508000" y="748631"/>
          <a:ext cx="574304" cy="338594"/>
        </a:xfrm>
        <a:prstGeom xmlns:a="http://schemas.openxmlformats.org/drawingml/2006/main" prst="rect">
          <a:avLst/>
        </a:prstGeom>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6529388-5AB0-43D8-878F-2361F924F183}" type="TxLink">
            <a:rPr lang="en-US" sz="1200" b="0" i="0" u="none" strike="noStrike">
              <a:solidFill>
                <a:srgbClr val="000000"/>
              </a:solidFill>
              <a:latin typeface="Calibri"/>
              <a:cs typeface="Calibri"/>
            </a:rPr>
            <a:pPr algn="ctr"/>
            <a:t>48%</a:t>
          </a:fld>
          <a:endParaRPr lang="en-AU" sz="1400"/>
        </a:p>
      </cdr:txBody>
    </cdr:sp>
  </cdr:relSizeAnchor>
</c:userShapes>
</file>

<file path=xl/drawings/drawing3.xml><?xml version="1.0" encoding="utf-8"?>
<xdr:wsDr xmlns:xdr="http://schemas.openxmlformats.org/drawingml/2006/spreadsheetDrawing" xmlns:a="http://schemas.openxmlformats.org/drawingml/2006/main">
  <xdr:twoCellAnchor>
    <xdr:from>
      <xdr:col>10</xdr:col>
      <xdr:colOff>114300</xdr:colOff>
      <xdr:row>0</xdr:row>
      <xdr:rowOff>76200</xdr:rowOff>
    </xdr:from>
    <xdr:to>
      <xdr:col>11</xdr:col>
      <xdr:colOff>1524000</xdr:colOff>
      <xdr:row>1</xdr:row>
      <xdr:rowOff>0</xdr:rowOff>
    </xdr:to>
    <xdr:sp macro="[0]!AddData" textlink="">
      <xdr:nvSpPr>
        <xdr:cNvPr id="2" name="Rectángulo: esquinas redondeadas 1">
          <a:extLst>
            <a:ext uri="{FF2B5EF4-FFF2-40B4-BE49-F238E27FC236}">
              <a16:creationId xmlns:a16="http://schemas.microsoft.com/office/drawing/2014/main" id="{BA18C0B5-1155-A718-3C7A-1222E1452F10}"/>
            </a:ext>
          </a:extLst>
        </xdr:cNvPr>
        <xdr:cNvSpPr/>
      </xdr:nvSpPr>
      <xdr:spPr>
        <a:xfrm>
          <a:off x="8039100" y="76200"/>
          <a:ext cx="2019300" cy="59055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ES" sz="2000"/>
            <a:t>ADD DATA</a:t>
          </a:r>
        </a:p>
      </xdr:txBody>
    </xdr:sp>
    <xdr:clientData/>
  </xdr:twoCellAnchor>
  <xdr:twoCellAnchor>
    <xdr:from>
      <xdr:col>10</xdr:col>
      <xdr:colOff>123825</xdr:colOff>
      <xdr:row>1</xdr:row>
      <xdr:rowOff>85725</xdr:rowOff>
    </xdr:from>
    <xdr:to>
      <xdr:col>11</xdr:col>
      <xdr:colOff>1533525</xdr:colOff>
      <xdr:row>4</xdr:row>
      <xdr:rowOff>76200</xdr:rowOff>
    </xdr:to>
    <xdr:sp macro="[0]!Refrescar_Todo_El_Workbook" textlink="">
      <xdr:nvSpPr>
        <xdr:cNvPr id="3" name="Elipse 2">
          <a:extLst>
            <a:ext uri="{FF2B5EF4-FFF2-40B4-BE49-F238E27FC236}">
              <a16:creationId xmlns:a16="http://schemas.microsoft.com/office/drawing/2014/main" id="{6D1738A1-2119-4BB9-95D5-F017A6D7EAF6}"/>
            </a:ext>
          </a:extLst>
        </xdr:cNvPr>
        <xdr:cNvSpPr/>
      </xdr:nvSpPr>
      <xdr:spPr>
        <a:xfrm>
          <a:off x="8324850" y="857250"/>
          <a:ext cx="2019300" cy="561975"/>
        </a:xfrm>
        <a:prstGeom prst="ellipse">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i="0" u="none" strike="noStrike">
              <a:solidFill>
                <a:schemeClr val="bg1"/>
              </a:solidFill>
              <a:effectLst/>
              <a:latin typeface="+mn-lt"/>
              <a:ea typeface="+mn-ea"/>
              <a:cs typeface="+mn-cs"/>
            </a:rPr>
            <a:t>UPDATE WORKBOOK</a:t>
          </a:r>
          <a:r>
            <a:rPr lang="es-ES">
              <a:solidFill>
                <a:schemeClr val="bg1"/>
              </a:solidFill>
              <a:effectLst/>
            </a:rPr>
            <a:t> </a:t>
          </a:r>
          <a:endParaRPr lang="es-E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85726</xdr:colOff>
      <xdr:row>23</xdr:row>
      <xdr:rowOff>171450</xdr:rowOff>
    </xdr:from>
    <xdr:to>
      <xdr:col>0</xdr:col>
      <xdr:colOff>2828925</xdr:colOff>
      <xdr:row>41</xdr:row>
      <xdr:rowOff>161925</xdr:rowOff>
    </xdr:to>
    <xdr:sp macro="" textlink="">
      <xdr:nvSpPr>
        <xdr:cNvPr id="2" name="Rectángulo 1">
          <a:extLst>
            <a:ext uri="{FF2B5EF4-FFF2-40B4-BE49-F238E27FC236}">
              <a16:creationId xmlns:a16="http://schemas.microsoft.com/office/drawing/2014/main" id="{1140438A-9375-4BAE-B715-1EC1C43A4D83}"/>
            </a:ext>
          </a:extLst>
        </xdr:cNvPr>
        <xdr:cNvSpPr/>
      </xdr:nvSpPr>
      <xdr:spPr>
        <a:xfrm>
          <a:off x="85726" y="4552950"/>
          <a:ext cx="2743199" cy="3419475"/>
        </a:xfrm>
        <a:prstGeom prst="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r>
            <a:rPr lang="es-ES" sz="1100"/>
            <a:t>TECHNIQUES</a:t>
          </a:r>
          <a:r>
            <a:rPr lang="es-ES" sz="1100" baseline="0"/>
            <a:t> USED:</a:t>
          </a:r>
        </a:p>
        <a:p>
          <a:pPr algn="l"/>
          <a:endParaRPr lang="es-ES" sz="1100"/>
        </a:p>
        <a:p>
          <a:pPr algn="l"/>
          <a:r>
            <a:rPr lang="es-ES" sz="1100"/>
            <a:t>I used several techniques to build this Excel:</a:t>
          </a:r>
          <a:br>
            <a:rPr lang="es-ES" sz="1100"/>
          </a:br>
          <a:br>
            <a:rPr lang="es-ES" sz="1100"/>
          </a:br>
          <a:endParaRPr lang="es-ES" sz="1100"/>
        </a:p>
        <a:p>
          <a:pPr algn="l"/>
          <a:r>
            <a:rPr lang="es-ES" sz="1100"/>
            <a:t>Excel Tables</a:t>
          </a:r>
        </a:p>
        <a:p>
          <a:pPr algn="l"/>
          <a:r>
            <a:rPr lang="es-ES" sz="1100"/>
            <a:t>PivotTables</a:t>
          </a:r>
        </a:p>
        <a:p>
          <a:pPr algn="l"/>
          <a:r>
            <a:rPr lang="es-ES" sz="1100"/>
            <a:t>COUNTIF and COUNTIFS functions</a:t>
          </a:r>
        </a:p>
        <a:p>
          <a:pPr algn="l"/>
          <a:r>
            <a:rPr lang="es-ES" sz="1100"/>
            <a:t>GETPIVOTDATA function</a:t>
          </a:r>
        </a:p>
        <a:p>
          <a:pPr algn="l"/>
          <a:r>
            <a:rPr lang="es-ES" sz="1100"/>
            <a:t>WORKDAY.INTL function</a:t>
          </a:r>
        </a:p>
        <a:p>
          <a:pPr algn="l"/>
          <a:r>
            <a:rPr lang="es-ES" sz="1100"/>
            <a:t>WEEKDAY function</a:t>
          </a:r>
        </a:p>
        <a:p>
          <a:pPr algn="l"/>
          <a:r>
            <a:rPr lang="es-ES" sz="1100"/>
            <a:t>Excel Charts</a:t>
          </a:r>
        </a:p>
        <a:p>
          <a:pPr algn="l"/>
          <a:r>
            <a:rPr lang="es-ES" sz="1100"/>
            <a:t>Slicers</a:t>
          </a:r>
        </a:p>
        <a:p>
          <a:pPr algn="l"/>
          <a:r>
            <a:rPr lang="es-ES" sz="1100"/>
            <a:t>TEXT function</a:t>
          </a:r>
        </a:p>
        <a:p>
          <a:pPr algn="l"/>
          <a:r>
            <a:rPr lang="es-ES" sz="1100"/>
            <a:t>Form Controls</a:t>
          </a:r>
        </a:p>
        <a:p>
          <a:pPr algn="l"/>
          <a:r>
            <a:rPr lang="es-ES" sz="1100"/>
            <a:t>SEQUENCE function</a:t>
          </a:r>
        </a:p>
        <a:p>
          <a:pPr algn="l"/>
          <a:r>
            <a:rPr lang="es-ES" sz="1100"/>
            <a:t>Conditional Formatting Data Bars</a:t>
          </a:r>
        </a:p>
        <a:p>
          <a:pPr algn="l"/>
          <a:r>
            <a:rPr lang="es-ES" sz="1100"/>
            <a:t>Conditional Formatting with Formulas</a:t>
          </a:r>
        </a:p>
        <a:p>
          <a:pPr algn="l"/>
          <a:r>
            <a:rPr lang="es-ES" sz="1100"/>
            <a:t>Custom Number Formats</a:t>
          </a:r>
        </a:p>
      </xdr:txBody>
    </xdr:sp>
    <xdr:clientData/>
  </xdr:twoCellAnchor>
  <xdr:twoCellAnchor>
    <xdr:from>
      <xdr:col>1</xdr:col>
      <xdr:colOff>1104900</xdr:colOff>
      <xdr:row>1</xdr:row>
      <xdr:rowOff>28575</xdr:rowOff>
    </xdr:from>
    <xdr:to>
      <xdr:col>6</xdr:col>
      <xdr:colOff>390525</xdr:colOff>
      <xdr:row>22</xdr:row>
      <xdr:rowOff>180975</xdr:rowOff>
    </xdr:to>
    <xdr:sp macro="" textlink="">
      <xdr:nvSpPr>
        <xdr:cNvPr id="3" name="Rectángulo 2">
          <a:extLst>
            <a:ext uri="{FF2B5EF4-FFF2-40B4-BE49-F238E27FC236}">
              <a16:creationId xmlns:a16="http://schemas.microsoft.com/office/drawing/2014/main" id="{CDEEA56F-0602-4360-A951-F255D80C7526}"/>
            </a:ext>
          </a:extLst>
        </xdr:cNvPr>
        <xdr:cNvSpPr/>
      </xdr:nvSpPr>
      <xdr:spPr>
        <a:xfrm>
          <a:off x="4695825" y="219075"/>
          <a:ext cx="4400550" cy="4152900"/>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ES" sz="1100"/>
            <a:t>How it works (summary):</a:t>
          </a:r>
        </a:p>
        <a:p>
          <a:pPr algn="l"/>
          <a:endParaRPr lang="es-ES" sz="1100"/>
        </a:p>
        <a:p>
          <a:pPr algn="l"/>
          <a:r>
            <a:rPr lang="es-ES" sz="1100"/>
            <a:t>It asks you to select an Excel file.</a:t>
          </a:r>
        </a:p>
        <a:p>
          <a:pPr algn="l"/>
          <a:r>
            <a:rPr lang="es-ES" sz="1100"/>
            <a:t>Finds the header row (in row 1 or within the first 10).</a:t>
          </a:r>
        </a:p>
        <a:p>
          <a:pPr algn="l"/>
          <a:r>
            <a:rPr lang="es-ES" sz="1100"/>
            <a:t>Maps only the 10 required columns (ignores extra columns).</a:t>
          </a:r>
        </a:p>
        <a:p>
          <a:pPr algn="l"/>
          <a:r>
            <a:rPr lang="es-ES" sz="1100"/>
            <a:t>Copies rows with non-empty "Project" and pastes from the first empty row into Data.</a:t>
          </a:r>
        </a:p>
        <a:p>
          <a:pPr algn="l"/>
          <a:endParaRPr lang="es-ES" sz="1100"/>
        </a:p>
        <a:p>
          <a:pPr algn="l"/>
          <a:r>
            <a:rPr lang="es-ES" sz="1100"/>
            <a:t>If the Table1 table exists, adjust it to cover the new records.</a:t>
          </a:r>
        </a:p>
        <a:p>
          <a:pPr algn="l"/>
          <a:endParaRPr lang="es-ES" sz="1100"/>
        </a:p>
        <a:p>
          <a:pPr algn="l"/>
          <a:r>
            <a:rPr lang="es-ES" sz="1100"/>
            <a:t>Quick button assignment: In Data, right-click Add data → Assign macro… → select AddData.</a:t>
          </a:r>
        </a:p>
        <a:p>
          <a:pPr algn="l"/>
          <a:endParaRPr lang="es-ES" sz="1100"/>
        </a:p>
        <a:p>
          <a:pPr algn="l"/>
          <a:endParaRPr lang="es-ES" sz="1100"/>
        </a:p>
        <a:p>
          <a:pPr algn="l"/>
          <a:endParaRPr lang="es-ES" sz="1100"/>
        </a:p>
        <a:p>
          <a:pPr algn="l"/>
          <a:r>
            <a:rPr lang="es-ES" sz="1100"/>
            <a:t>Assumptions</a:t>
          </a:r>
        </a:p>
        <a:p>
          <a:pPr algn="l"/>
          <a:endParaRPr lang="es-ES" sz="1100"/>
        </a:p>
        <a:p>
          <a:pPr algn="l"/>
          <a:r>
            <a:rPr lang="es-ES" sz="1100"/>
            <a:t>"Data" has the exact headers: "Project", "Task", "Manager", "Start Date", "Duration", "End Date", "Days completed", "Progress", "Budget", "Actual".</a:t>
          </a:r>
        </a:p>
        <a:p>
          <a:pPr algn="l"/>
          <a:r>
            <a:rPr lang="es-ES" sz="1100"/>
            <a:t>The source file contains those headers (case-insensitive) and data underneath.</a:t>
          </a:r>
        </a:p>
        <a:p>
          <a:pPr algn="l"/>
          <a:r>
            <a:rPr lang="es-ES" sz="1100"/>
            <a:t>.xlsx/.xlsm/.xlsb files are imported.</a:t>
          </a:r>
        </a:p>
      </xdr:txBody>
    </xdr:sp>
    <xdr:clientData/>
  </xdr:twoCellAnchor>
  <xdr:twoCellAnchor>
    <xdr:from>
      <xdr:col>0</xdr:col>
      <xdr:colOff>76200</xdr:colOff>
      <xdr:row>1</xdr:row>
      <xdr:rowOff>28575</xdr:rowOff>
    </xdr:from>
    <xdr:to>
      <xdr:col>1</xdr:col>
      <xdr:colOff>857250</xdr:colOff>
      <xdr:row>23</xdr:row>
      <xdr:rowOff>0</xdr:rowOff>
    </xdr:to>
    <xdr:sp macro="" textlink="">
      <xdr:nvSpPr>
        <xdr:cNvPr id="4" name="Rectángulo 3">
          <a:extLst>
            <a:ext uri="{FF2B5EF4-FFF2-40B4-BE49-F238E27FC236}">
              <a16:creationId xmlns:a16="http://schemas.microsoft.com/office/drawing/2014/main" id="{33FFCF3B-57C6-4E1D-8DEE-C905A1355A84}"/>
            </a:ext>
          </a:extLst>
        </xdr:cNvPr>
        <xdr:cNvSpPr/>
      </xdr:nvSpPr>
      <xdr:spPr>
        <a:xfrm>
          <a:off x="76200" y="219075"/>
          <a:ext cx="4371975" cy="4162425"/>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ES" sz="1100"/>
            <a:t>Cómo funciona (resumen):</a:t>
          </a:r>
        </a:p>
        <a:p>
          <a:pPr algn="l"/>
          <a:endParaRPr lang="es-ES" sz="1100"/>
        </a:p>
        <a:p>
          <a:pPr algn="l"/>
          <a:r>
            <a:rPr lang="es-ES" sz="1100"/>
            <a:t>Te pide seleccionar un archivo Excel.</a:t>
          </a:r>
        </a:p>
        <a:p>
          <a:pPr algn="l"/>
          <a:r>
            <a:rPr lang="es-ES" sz="1100"/>
            <a:t>Encuentra la fila de encabezados (en la fila 1 o dentro de las primeras 10).</a:t>
          </a:r>
        </a:p>
        <a:p>
          <a:pPr algn="l"/>
          <a:r>
            <a:rPr lang="es-ES" sz="1100"/>
            <a:t>Mapea solo las 10 columnas requeridas (ignora columnas extra).</a:t>
          </a:r>
        </a:p>
        <a:p>
          <a:pPr algn="l"/>
          <a:r>
            <a:rPr lang="es-ES" sz="1100"/>
            <a:t>Copia filas con “Project” no vacío y pega desde la primera fila vacía en Data.</a:t>
          </a:r>
        </a:p>
        <a:p>
          <a:pPr algn="l"/>
          <a:endParaRPr lang="es-ES" sz="1100"/>
        </a:p>
        <a:p>
          <a:pPr algn="l"/>
          <a:r>
            <a:rPr lang="es-ES" sz="1100"/>
            <a:t>Si existe la tabla Table1, la ajusta para cubrir los nuevos registros.</a:t>
          </a:r>
        </a:p>
        <a:p>
          <a:pPr algn="l"/>
          <a:endParaRPr lang="es-ES" sz="1100"/>
        </a:p>
        <a:p>
          <a:pPr algn="l"/>
          <a:r>
            <a:rPr lang="es-ES" sz="1100"/>
            <a:t>Asignación rápida del botón: En Data, clic derecho en Add data → Asignar macro… → selecciona AddData.</a:t>
          </a:r>
        </a:p>
        <a:p>
          <a:pPr algn="l"/>
          <a:endParaRPr lang="es-ES" sz="1100"/>
        </a:p>
        <a:p>
          <a:pPr algn="l"/>
          <a:endParaRPr lang="es-ES" sz="1100"/>
        </a:p>
        <a:p>
          <a:pPr algn="l"/>
          <a:endParaRPr lang="es-ES" sz="1100"/>
        </a:p>
        <a:p>
          <a:pPr algn="l"/>
          <a:r>
            <a:rPr lang="es-ES" sz="1100"/>
            <a:t>Suposiciones</a:t>
          </a:r>
        </a:p>
        <a:p>
          <a:pPr algn="l"/>
          <a:endParaRPr lang="es-ES" sz="1100"/>
        </a:p>
        <a:p>
          <a:pPr algn="l"/>
          <a:r>
            <a:rPr lang="es-ES" sz="1100"/>
            <a:t>“Data” tiene los encabezados exactamente: "Project", "Task", "Manager", "Start Date", "Duration", "End Date", "Days completed", "Progress", "Budget", "Actual".</a:t>
          </a:r>
        </a:p>
        <a:p>
          <a:pPr algn="l"/>
          <a:r>
            <a:rPr lang="es-ES" sz="1100"/>
            <a:t>El archivo origen contiene esos encabezados (sin importar mayúsculas/minúsculas) y datos debajo.</a:t>
          </a:r>
        </a:p>
        <a:p>
          <a:pPr algn="l"/>
          <a:r>
            <a:rPr lang="es-ES" sz="1100"/>
            <a:t>Se importan archivos .xlsx/.xlsm/.xlsb.are imported.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Lazaro" refreshedDate="45950.613784837966" missingItemsLimit="0" createdVersion="6" refreshedVersion="8" minRefreshableVersion="3" recordCount="40" xr:uid="{7F044F22-30D6-49F4-936A-AD04EA158BFF}">
  <cacheSource type="worksheet">
    <worksheetSource name="Table1"/>
  </cacheSource>
  <cacheFields count="10">
    <cacheField name="Project" numFmtId="0">
      <sharedItems count="5">
        <s v="Web"/>
        <s v="App"/>
        <s v="Software"/>
        <s v="Infraestructure"/>
        <s v="VDI"/>
      </sharedItems>
    </cacheField>
    <cacheField name="Task" numFmtId="0">
      <sharedItems count="10">
        <s v="Task 1"/>
        <s v="Task 2"/>
        <s v="Task 3"/>
        <s v="Task 4"/>
        <s v="Task 5"/>
        <s v="Task 6"/>
        <s v="Task 7"/>
        <s v="Task 8"/>
        <s v="Task 9"/>
        <s v="Task 10"/>
      </sharedItems>
    </cacheField>
    <cacheField name="Manager" numFmtId="0">
      <sharedItems count="5">
        <s v="Bruno "/>
        <s v="Pedro"/>
        <s v="Ana"/>
        <s v="Juan"/>
        <s v="Maria"/>
      </sharedItems>
    </cacheField>
    <cacheField name="Start Date" numFmtId="166">
      <sharedItems containsSemiMixedTypes="0" containsNonDate="0" containsDate="1" containsString="0" minDate="2022-06-17T00:00:00" maxDate="2022-07-27T00:00:00" count="40">
        <d v="2022-06-17T00:00:00"/>
        <d v="2022-06-18T00:00:00"/>
        <d v="2022-06-19T00:00:00"/>
        <d v="2022-06-20T00:00:00"/>
        <d v="2022-06-21T00:00:00"/>
        <d v="2022-06-22T00:00:00"/>
        <d v="2022-06-23T00:00:00"/>
        <d v="2022-06-24T00:00:00"/>
        <d v="2022-06-25T00:00:00"/>
        <d v="2022-06-26T00:00:00"/>
        <d v="2022-06-27T00:00:00"/>
        <d v="2022-06-28T00:00:00"/>
        <d v="2022-06-29T00:00:00"/>
        <d v="2022-06-30T00:00:00"/>
        <d v="2022-07-01T00:00:00"/>
        <d v="2022-07-02T00:00:00"/>
        <d v="2022-07-03T00:00:00"/>
        <d v="2022-07-04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19T00:00:00"/>
        <d v="2022-07-20T00:00:00"/>
        <d v="2022-07-21T00:00:00"/>
        <d v="2022-07-22T00:00:00"/>
        <d v="2022-07-23T00:00:00"/>
        <d v="2022-07-24T00:00:00"/>
        <d v="2022-07-25T00:00:00"/>
        <d v="2022-07-26T00:00:00"/>
      </sharedItems>
    </cacheField>
    <cacheField name="Duration" numFmtId="0">
      <sharedItems containsSemiMixedTypes="0" containsString="0" containsNumber="1" containsInteger="1" minValue="3" maxValue="10" count="8">
        <n v="5"/>
        <n v="6"/>
        <n v="10"/>
        <n v="9"/>
        <n v="4"/>
        <n v="7"/>
        <n v="8"/>
        <n v="3"/>
      </sharedItems>
    </cacheField>
    <cacheField name="End Date" numFmtId="166">
      <sharedItems containsSemiMixedTypes="0" containsNonDate="0" containsDate="1" containsString="0" minDate="2022-06-22T00:00:00" maxDate="2022-08-05T00:00:00" count="28">
        <d v="2022-06-22T00:00:00"/>
        <d v="2022-06-24T00:00:00"/>
        <d v="2022-06-29T00:00:00"/>
        <d v="2022-06-25T00:00:00"/>
        <d v="2022-06-28T00:00:00"/>
        <d v="2022-06-30T00:00:00"/>
        <d v="2022-07-04T00:00:00"/>
        <d v="2022-07-02T00:00:00"/>
        <d v="2022-07-07T00:00:00"/>
        <d v="2022-07-05T00:00:00"/>
        <d v="2022-07-08T00:00:00"/>
        <d v="2022-07-09T00:00:00"/>
        <d v="2022-07-12T00:00:00"/>
        <d v="2022-07-17T00:00:00"/>
        <d v="2022-07-13T00:00:00"/>
        <d v="2022-07-16T00:00:00"/>
        <d v="2022-07-14T00:00:00"/>
        <d v="2022-07-21T00:00:00"/>
        <d v="2022-07-23T00:00:00"/>
        <d v="2022-07-18T00:00:00"/>
        <d v="2022-07-26T00:00:00"/>
        <d v="2022-07-22T00:00:00"/>
        <d v="2022-07-27T00:00:00"/>
        <d v="2022-07-29T00:00:00"/>
        <d v="2022-07-25T00:00:00"/>
        <d v="2022-07-30T00:00:00"/>
        <d v="2022-08-03T00:00:00"/>
        <d v="2022-08-04T00:00:00"/>
      </sharedItems>
    </cacheField>
    <cacheField name="Days completed" numFmtId="3">
      <sharedItems containsSemiMixedTypes="0" containsString="0" containsNumber="1" containsInteger="1" minValue="0" maxValue="8" count="8">
        <n v="2"/>
        <n v="3"/>
        <n v="4"/>
        <n v="1"/>
        <n v="0"/>
        <n v="7"/>
        <n v="5"/>
        <n v="8"/>
      </sharedItems>
    </cacheField>
    <cacheField name="Progress" numFmtId="9">
      <sharedItems containsSemiMixedTypes="0" containsString="0" containsNumber="1" minValue="0" maxValue="1" count="19">
        <n v="0.4"/>
        <n v="0.5"/>
        <n v="0.33333333333333331"/>
        <n v="0.25"/>
        <n v="0"/>
        <n v="0.42857142857142855"/>
        <n v="0.1111111111111111"/>
        <n v="1"/>
        <n v="0.44444444444444442"/>
        <n v="0.83333333333333337"/>
        <n v="0.8"/>
        <n v="0.2857142857142857"/>
        <n v="0.66666666666666663"/>
        <n v="0.88888888888888884"/>
        <n v="0.2"/>
        <n v="0.625"/>
        <n v="0.3"/>
        <n v="0.375"/>
        <n v="0.6"/>
      </sharedItems>
    </cacheField>
    <cacheField name="Budget" numFmtId="3">
      <sharedItems containsSemiMixedTypes="0" containsString="0" containsNumber="1" containsInteger="1" minValue="150000" maxValue="400000"/>
    </cacheField>
    <cacheField name="Actual" numFmtId="3">
      <sharedItems containsSemiMixedTypes="0" containsString="0" containsNumber="1" containsInteger="1" minValue="50000" maxValue="270000"/>
    </cacheField>
  </cacheFields>
  <extLst>
    <ext xmlns:x14="http://schemas.microsoft.com/office/spreadsheetml/2009/9/main" uri="{725AE2AE-9491-48be-B2B4-4EB974FC3084}">
      <x14:pivotCacheDefinition pivotCacheId="7397747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x v="0"/>
    <x v="0"/>
    <x v="0"/>
    <x v="0"/>
    <x v="0"/>
    <n v="150000"/>
    <n v="50000"/>
  </r>
  <r>
    <x v="0"/>
    <x v="1"/>
    <x v="1"/>
    <x v="1"/>
    <x v="1"/>
    <x v="1"/>
    <x v="1"/>
    <x v="1"/>
    <n v="150000"/>
    <n v="50000"/>
  </r>
  <r>
    <x v="0"/>
    <x v="2"/>
    <x v="2"/>
    <x v="2"/>
    <x v="2"/>
    <x v="2"/>
    <x v="2"/>
    <x v="0"/>
    <n v="150000"/>
    <n v="50000"/>
  </r>
  <r>
    <x v="0"/>
    <x v="3"/>
    <x v="0"/>
    <x v="3"/>
    <x v="3"/>
    <x v="2"/>
    <x v="1"/>
    <x v="2"/>
    <n v="150000"/>
    <n v="50000"/>
  </r>
  <r>
    <x v="0"/>
    <x v="4"/>
    <x v="1"/>
    <x v="4"/>
    <x v="4"/>
    <x v="3"/>
    <x v="3"/>
    <x v="3"/>
    <n v="150000"/>
    <n v="50000"/>
  </r>
  <r>
    <x v="0"/>
    <x v="5"/>
    <x v="2"/>
    <x v="5"/>
    <x v="1"/>
    <x v="4"/>
    <x v="4"/>
    <x v="4"/>
    <n v="150000"/>
    <n v="50000"/>
  </r>
  <r>
    <x v="0"/>
    <x v="6"/>
    <x v="0"/>
    <x v="6"/>
    <x v="5"/>
    <x v="5"/>
    <x v="1"/>
    <x v="5"/>
    <n v="150000"/>
    <n v="50000"/>
  </r>
  <r>
    <x v="0"/>
    <x v="7"/>
    <x v="1"/>
    <x v="7"/>
    <x v="0"/>
    <x v="2"/>
    <x v="0"/>
    <x v="0"/>
    <n v="150000"/>
    <n v="50000"/>
  </r>
  <r>
    <x v="0"/>
    <x v="8"/>
    <x v="2"/>
    <x v="8"/>
    <x v="3"/>
    <x v="6"/>
    <x v="3"/>
    <x v="6"/>
    <n v="150000"/>
    <n v="50000"/>
  </r>
  <r>
    <x v="0"/>
    <x v="9"/>
    <x v="3"/>
    <x v="9"/>
    <x v="1"/>
    <x v="7"/>
    <x v="1"/>
    <x v="1"/>
    <n v="150000"/>
    <n v="50000"/>
  </r>
  <r>
    <x v="1"/>
    <x v="0"/>
    <x v="1"/>
    <x v="10"/>
    <x v="5"/>
    <x v="6"/>
    <x v="5"/>
    <x v="7"/>
    <n v="150000"/>
    <n v="50000"/>
  </r>
  <r>
    <x v="1"/>
    <x v="1"/>
    <x v="2"/>
    <x v="11"/>
    <x v="3"/>
    <x v="8"/>
    <x v="2"/>
    <x v="8"/>
    <n v="150000"/>
    <n v="50000"/>
  </r>
  <r>
    <x v="1"/>
    <x v="2"/>
    <x v="0"/>
    <x v="12"/>
    <x v="6"/>
    <x v="8"/>
    <x v="4"/>
    <x v="4"/>
    <n v="150000"/>
    <n v="50000"/>
  </r>
  <r>
    <x v="1"/>
    <x v="3"/>
    <x v="1"/>
    <x v="13"/>
    <x v="5"/>
    <x v="8"/>
    <x v="1"/>
    <x v="5"/>
    <n v="150000"/>
    <n v="50000"/>
  </r>
  <r>
    <x v="1"/>
    <x v="4"/>
    <x v="2"/>
    <x v="14"/>
    <x v="4"/>
    <x v="9"/>
    <x v="3"/>
    <x v="3"/>
    <n v="150000"/>
    <n v="50000"/>
  </r>
  <r>
    <x v="1"/>
    <x v="5"/>
    <x v="0"/>
    <x v="15"/>
    <x v="1"/>
    <x v="10"/>
    <x v="1"/>
    <x v="1"/>
    <n v="150000"/>
    <n v="50000"/>
  </r>
  <r>
    <x v="1"/>
    <x v="6"/>
    <x v="1"/>
    <x v="16"/>
    <x v="1"/>
    <x v="11"/>
    <x v="6"/>
    <x v="9"/>
    <n v="150000"/>
    <n v="50000"/>
  </r>
  <r>
    <x v="1"/>
    <x v="7"/>
    <x v="2"/>
    <x v="17"/>
    <x v="4"/>
    <x v="10"/>
    <x v="3"/>
    <x v="3"/>
    <n v="150000"/>
    <n v="50000"/>
  </r>
  <r>
    <x v="1"/>
    <x v="8"/>
    <x v="0"/>
    <x v="18"/>
    <x v="5"/>
    <x v="12"/>
    <x v="1"/>
    <x v="5"/>
    <n v="150000"/>
    <n v="50000"/>
  </r>
  <r>
    <x v="1"/>
    <x v="9"/>
    <x v="1"/>
    <x v="19"/>
    <x v="7"/>
    <x v="11"/>
    <x v="1"/>
    <x v="7"/>
    <n v="150000"/>
    <n v="50000"/>
  </r>
  <r>
    <x v="2"/>
    <x v="0"/>
    <x v="2"/>
    <x v="20"/>
    <x v="2"/>
    <x v="13"/>
    <x v="6"/>
    <x v="1"/>
    <n v="150000"/>
    <n v="50000"/>
  </r>
  <r>
    <x v="2"/>
    <x v="1"/>
    <x v="0"/>
    <x v="21"/>
    <x v="0"/>
    <x v="14"/>
    <x v="2"/>
    <x v="10"/>
    <n v="150000"/>
    <n v="50000"/>
  </r>
  <r>
    <x v="2"/>
    <x v="2"/>
    <x v="1"/>
    <x v="22"/>
    <x v="5"/>
    <x v="15"/>
    <x v="1"/>
    <x v="5"/>
    <n v="150000"/>
    <n v="50000"/>
  </r>
  <r>
    <x v="2"/>
    <x v="3"/>
    <x v="2"/>
    <x v="23"/>
    <x v="5"/>
    <x v="13"/>
    <x v="0"/>
    <x v="11"/>
    <n v="150000"/>
    <n v="50000"/>
  </r>
  <r>
    <x v="2"/>
    <x v="4"/>
    <x v="0"/>
    <x v="24"/>
    <x v="7"/>
    <x v="16"/>
    <x v="0"/>
    <x v="12"/>
    <n v="150000"/>
    <n v="50000"/>
  </r>
  <r>
    <x v="3"/>
    <x v="0"/>
    <x v="1"/>
    <x v="25"/>
    <x v="3"/>
    <x v="17"/>
    <x v="7"/>
    <x v="13"/>
    <n v="150000"/>
    <n v="50000"/>
  </r>
  <r>
    <x v="3"/>
    <x v="1"/>
    <x v="2"/>
    <x v="26"/>
    <x v="2"/>
    <x v="18"/>
    <x v="0"/>
    <x v="14"/>
    <n v="150000"/>
    <n v="50000"/>
  </r>
  <r>
    <x v="3"/>
    <x v="2"/>
    <x v="0"/>
    <x v="27"/>
    <x v="4"/>
    <x v="19"/>
    <x v="4"/>
    <x v="4"/>
    <n v="150000"/>
    <n v="50000"/>
  </r>
  <r>
    <x v="3"/>
    <x v="3"/>
    <x v="1"/>
    <x v="28"/>
    <x v="6"/>
    <x v="18"/>
    <x v="6"/>
    <x v="15"/>
    <n v="150000"/>
    <n v="50000"/>
  </r>
  <r>
    <x v="3"/>
    <x v="4"/>
    <x v="2"/>
    <x v="29"/>
    <x v="2"/>
    <x v="20"/>
    <x v="1"/>
    <x v="16"/>
    <n v="150000"/>
    <n v="50000"/>
  </r>
  <r>
    <x v="3"/>
    <x v="5"/>
    <x v="0"/>
    <x v="30"/>
    <x v="1"/>
    <x v="18"/>
    <x v="1"/>
    <x v="1"/>
    <n v="150000"/>
    <n v="50000"/>
  </r>
  <r>
    <x v="3"/>
    <x v="6"/>
    <x v="1"/>
    <x v="31"/>
    <x v="4"/>
    <x v="21"/>
    <x v="0"/>
    <x v="1"/>
    <n v="400000"/>
    <n v="270000"/>
  </r>
  <r>
    <x v="4"/>
    <x v="0"/>
    <x v="2"/>
    <x v="32"/>
    <x v="6"/>
    <x v="22"/>
    <x v="1"/>
    <x v="17"/>
    <n v="400000"/>
    <n v="270000"/>
  </r>
  <r>
    <x v="4"/>
    <x v="1"/>
    <x v="0"/>
    <x v="33"/>
    <x v="3"/>
    <x v="23"/>
    <x v="2"/>
    <x v="8"/>
    <n v="400000"/>
    <n v="270000"/>
  </r>
  <r>
    <x v="4"/>
    <x v="2"/>
    <x v="1"/>
    <x v="34"/>
    <x v="0"/>
    <x v="20"/>
    <x v="1"/>
    <x v="18"/>
    <n v="400000"/>
    <n v="270000"/>
  </r>
  <r>
    <x v="4"/>
    <x v="3"/>
    <x v="2"/>
    <x v="35"/>
    <x v="7"/>
    <x v="24"/>
    <x v="1"/>
    <x v="7"/>
    <n v="400000"/>
    <n v="270000"/>
  </r>
  <r>
    <x v="4"/>
    <x v="4"/>
    <x v="0"/>
    <x v="36"/>
    <x v="5"/>
    <x v="25"/>
    <x v="1"/>
    <x v="5"/>
    <n v="400000"/>
    <n v="270000"/>
  </r>
  <r>
    <x v="4"/>
    <x v="5"/>
    <x v="1"/>
    <x v="37"/>
    <x v="2"/>
    <x v="26"/>
    <x v="0"/>
    <x v="14"/>
    <n v="400000"/>
    <n v="270000"/>
  </r>
  <r>
    <x v="4"/>
    <x v="6"/>
    <x v="2"/>
    <x v="38"/>
    <x v="2"/>
    <x v="27"/>
    <x v="1"/>
    <x v="16"/>
    <n v="400000"/>
    <n v="270000"/>
  </r>
  <r>
    <x v="4"/>
    <x v="7"/>
    <x v="4"/>
    <x v="39"/>
    <x v="7"/>
    <x v="23"/>
    <x v="4"/>
    <x v="4"/>
    <n v="400000"/>
    <n v="27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55B9DB-4CE8-497A-978F-D31E4BA07222}" name="Gantt" cacheId="22" applyNumberFormats="0" applyBorderFormats="0" applyFontFormats="0" applyPatternFormats="0" applyAlignmentFormats="0" applyWidthHeightFormats="1" dataCaption="Values" updatedVersion="8" minRefreshableVersion="3" showDrill="0" itemPrintTitles="1" createdVersion="6" indent="0" compact="0" compactData="0" multipleFieldFilters="0" chartFormat="1">
  <location ref="A5:J46" firstHeaderRow="0" firstDataRow="1" firstDataCol="8"/>
  <pivotFields count="10">
    <pivotField axis="axisRow" compact="0" outline="0" showAll="0" defaultSubtotal="0">
      <items count="5">
        <item x="0"/>
        <item x="1"/>
        <item x="2"/>
        <item x="3"/>
        <item x="4"/>
      </items>
    </pivotField>
    <pivotField axis="axisRow" compact="0" outline="0" showAll="0" defaultSubtotal="0">
      <items count="10">
        <item x="0"/>
        <item x="1"/>
        <item x="2"/>
        <item x="3"/>
        <item x="4"/>
        <item x="5"/>
        <item x="6"/>
        <item x="7"/>
        <item x="8"/>
        <item x="9"/>
      </items>
    </pivotField>
    <pivotField axis="axisRow" compact="0" outline="0" showAll="0" defaultSubtotal="0">
      <items count="5">
        <item x="2"/>
        <item x="0"/>
        <item x="1"/>
        <item x="3"/>
        <item x="4"/>
      </items>
    </pivotField>
    <pivotField axis="axisRow" compact="0" numFmtId="14" outline="0" showAll="0" defaultSubtota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pivotField>
    <pivotField axis="axisRow" compact="0" outline="0" showAll="0" defaultSubtotal="0">
      <items count="8">
        <item x="0"/>
        <item x="1"/>
        <item x="2"/>
        <item x="3"/>
        <item x="4"/>
        <item x="5"/>
        <item x="6"/>
        <item x="7"/>
      </items>
    </pivotField>
    <pivotField axis="axisRow" compact="0" numFmtId="14" outline="0"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name="Days comp." axis="axisRow" compact="0" numFmtId="3" outline="0" showAll="0" defaultSubtotal="0">
      <items count="8">
        <item x="0"/>
        <item x="1"/>
        <item x="2"/>
        <item x="3"/>
        <item x="4"/>
        <item x="5"/>
        <item x="6"/>
        <item x="7"/>
      </items>
    </pivotField>
    <pivotField axis="axisRow" compact="0" numFmtId="9" outline="0" showAll="0" defaultSubtotal="0">
      <items count="19">
        <item x="0"/>
        <item x="18"/>
        <item x="1"/>
        <item x="2"/>
        <item x="3"/>
        <item x="4"/>
        <item x="5"/>
        <item x="6"/>
        <item x="7"/>
        <item x="8"/>
        <item x="9"/>
        <item x="10"/>
        <item x="11"/>
        <item x="12"/>
        <item x="13"/>
        <item x="14"/>
        <item x="15"/>
        <item x="16"/>
        <item x="17"/>
      </items>
    </pivotField>
    <pivotField dataField="1" compact="0" numFmtId="3" outline="0" showAll="0" defaultSubtotal="0"/>
    <pivotField dataField="1" compact="0" numFmtId="3" outline="0" showAll="0" defaultSubtotal="0"/>
  </pivotFields>
  <rowFields count="8">
    <field x="0"/>
    <field x="1"/>
    <field x="2"/>
    <field x="3"/>
    <field x="5"/>
    <field x="4"/>
    <field x="6"/>
    <field x="7"/>
  </rowFields>
  <rowItems count="41">
    <i>
      <x/>
      <x/>
      <x v="1"/>
      <x/>
      <x/>
      <x/>
      <x/>
      <x/>
    </i>
    <i r="1">
      <x v="1"/>
      <x v="2"/>
      <x v="1"/>
      <x v="1"/>
      <x v="1"/>
      <x v="1"/>
      <x v="2"/>
    </i>
    <i r="1">
      <x v="2"/>
      <x/>
      <x v="2"/>
      <x v="2"/>
      <x v="2"/>
      <x v="2"/>
      <x/>
    </i>
    <i r="1">
      <x v="3"/>
      <x v="1"/>
      <x v="3"/>
      <x v="2"/>
      <x v="3"/>
      <x v="1"/>
      <x v="3"/>
    </i>
    <i r="1">
      <x v="4"/>
      <x v="2"/>
      <x v="4"/>
      <x v="3"/>
      <x v="4"/>
      <x v="3"/>
      <x v="4"/>
    </i>
    <i r="1">
      <x v="5"/>
      <x/>
      <x v="5"/>
      <x v="4"/>
      <x v="1"/>
      <x v="4"/>
      <x v="5"/>
    </i>
    <i r="1">
      <x v="6"/>
      <x v="1"/>
      <x v="6"/>
      <x v="5"/>
      <x v="5"/>
      <x v="1"/>
      <x v="6"/>
    </i>
    <i r="1">
      <x v="7"/>
      <x v="2"/>
      <x v="7"/>
      <x v="2"/>
      <x/>
      <x/>
      <x/>
    </i>
    <i r="1">
      <x v="8"/>
      <x/>
      <x v="8"/>
      <x v="6"/>
      <x v="3"/>
      <x v="3"/>
      <x v="7"/>
    </i>
    <i r="1">
      <x v="9"/>
      <x v="3"/>
      <x v="9"/>
      <x v="7"/>
      <x v="1"/>
      <x v="1"/>
      <x v="2"/>
    </i>
    <i>
      <x v="1"/>
      <x/>
      <x v="2"/>
      <x v="10"/>
      <x v="6"/>
      <x v="5"/>
      <x v="5"/>
      <x v="8"/>
    </i>
    <i r="1">
      <x v="1"/>
      <x/>
      <x v="11"/>
      <x v="8"/>
      <x v="3"/>
      <x v="2"/>
      <x v="9"/>
    </i>
    <i r="1">
      <x v="2"/>
      <x v="1"/>
      <x v="12"/>
      <x v="8"/>
      <x v="6"/>
      <x v="4"/>
      <x v="5"/>
    </i>
    <i r="1">
      <x v="3"/>
      <x v="2"/>
      <x v="13"/>
      <x v="8"/>
      <x v="5"/>
      <x v="1"/>
      <x v="6"/>
    </i>
    <i r="1">
      <x v="4"/>
      <x/>
      <x v="14"/>
      <x v="9"/>
      <x v="4"/>
      <x v="3"/>
      <x v="4"/>
    </i>
    <i r="1">
      <x v="5"/>
      <x v="1"/>
      <x v="15"/>
      <x v="10"/>
      <x v="1"/>
      <x v="1"/>
      <x v="2"/>
    </i>
    <i r="1">
      <x v="6"/>
      <x v="2"/>
      <x v="16"/>
      <x v="11"/>
      <x v="1"/>
      <x v="6"/>
      <x v="10"/>
    </i>
    <i r="1">
      <x v="7"/>
      <x/>
      <x v="17"/>
      <x v="10"/>
      <x v="4"/>
      <x v="3"/>
      <x v="4"/>
    </i>
    <i r="1">
      <x v="8"/>
      <x v="1"/>
      <x v="18"/>
      <x v="12"/>
      <x v="5"/>
      <x v="1"/>
      <x v="6"/>
    </i>
    <i r="1">
      <x v="9"/>
      <x v="2"/>
      <x v="19"/>
      <x v="11"/>
      <x v="7"/>
      <x v="1"/>
      <x v="8"/>
    </i>
    <i>
      <x v="2"/>
      <x/>
      <x/>
      <x v="20"/>
      <x v="13"/>
      <x v="2"/>
      <x v="6"/>
      <x v="2"/>
    </i>
    <i r="1">
      <x v="1"/>
      <x v="1"/>
      <x v="21"/>
      <x v="14"/>
      <x/>
      <x v="2"/>
      <x v="11"/>
    </i>
    <i r="1">
      <x v="2"/>
      <x v="2"/>
      <x v="22"/>
      <x v="15"/>
      <x v="5"/>
      <x v="1"/>
      <x v="6"/>
    </i>
    <i r="1">
      <x v="3"/>
      <x/>
      <x v="23"/>
      <x v="13"/>
      <x v="5"/>
      <x/>
      <x v="12"/>
    </i>
    <i r="1">
      <x v="4"/>
      <x v="1"/>
      <x v="24"/>
      <x v="16"/>
      <x v="7"/>
      <x/>
      <x v="13"/>
    </i>
    <i>
      <x v="3"/>
      <x/>
      <x v="2"/>
      <x v="25"/>
      <x v="17"/>
      <x v="3"/>
      <x v="7"/>
      <x v="14"/>
    </i>
    <i r="1">
      <x v="1"/>
      <x/>
      <x v="26"/>
      <x v="18"/>
      <x v="2"/>
      <x/>
      <x v="15"/>
    </i>
    <i r="1">
      <x v="2"/>
      <x v="1"/>
      <x v="27"/>
      <x v="19"/>
      <x v="4"/>
      <x v="4"/>
      <x v="5"/>
    </i>
    <i r="1">
      <x v="3"/>
      <x v="2"/>
      <x v="28"/>
      <x v="18"/>
      <x v="6"/>
      <x v="6"/>
      <x v="16"/>
    </i>
    <i r="1">
      <x v="4"/>
      <x/>
      <x v="29"/>
      <x v="20"/>
      <x v="2"/>
      <x v="1"/>
      <x v="17"/>
    </i>
    <i r="1">
      <x v="5"/>
      <x v="1"/>
      <x v="30"/>
      <x v="18"/>
      <x v="1"/>
      <x v="1"/>
      <x v="2"/>
    </i>
    <i r="1">
      <x v="6"/>
      <x v="2"/>
      <x v="31"/>
      <x v="21"/>
      <x v="4"/>
      <x/>
      <x v="2"/>
    </i>
    <i>
      <x v="4"/>
      <x/>
      <x/>
      <x v="32"/>
      <x v="22"/>
      <x v="6"/>
      <x v="1"/>
      <x v="18"/>
    </i>
    <i r="1">
      <x v="1"/>
      <x v="1"/>
      <x v="33"/>
      <x v="23"/>
      <x v="3"/>
      <x v="2"/>
      <x v="9"/>
    </i>
    <i r="1">
      <x v="2"/>
      <x v="2"/>
      <x v="34"/>
      <x v="20"/>
      <x/>
      <x v="1"/>
      <x v="1"/>
    </i>
    <i r="1">
      <x v="3"/>
      <x/>
      <x v="35"/>
      <x v="24"/>
      <x v="7"/>
      <x v="1"/>
      <x v="8"/>
    </i>
    <i r="1">
      <x v="4"/>
      <x v="1"/>
      <x v="36"/>
      <x v="25"/>
      <x v="5"/>
      <x v="1"/>
      <x v="6"/>
    </i>
    <i r="1">
      <x v="5"/>
      <x v="2"/>
      <x v="37"/>
      <x v="26"/>
      <x v="2"/>
      <x/>
      <x v="15"/>
    </i>
    <i r="1">
      <x v="6"/>
      <x/>
      <x v="38"/>
      <x v="27"/>
      <x v="2"/>
      <x v="1"/>
      <x v="17"/>
    </i>
    <i r="1">
      <x v="7"/>
      <x v="4"/>
      <x v="39"/>
      <x v="23"/>
      <x v="7"/>
      <x v="4"/>
      <x v="5"/>
    </i>
    <i t="grand">
      <x/>
    </i>
  </rowItems>
  <colFields count="1">
    <field x="-2"/>
  </colFields>
  <colItems count="2">
    <i>
      <x/>
    </i>
    <i i="1">
      <x v="1"/>
    </i>
  </colItems>
  <dataFields count="2">
    <dataField name="Budget " fld="8" baseField="0" baseItem="1" numFmtId="3"/>
    <dataField name="Actual " fld="9" baseField="0" baseItem="2" numFmtId="3"/>
  </dataFields>
  <formats count="51">
    <format dxfId="70">
      <pivotArea dataOnly="0" labelOnly="1" outline="0" fieldPosition="0">
        <references count="1">
          <reference field="4294967294" count="2">
            <x v="0"/>
            <x v="1"/>
          </reference>
        </references>
      </pivotArea>
    </format>
    <format dxfId="69">
      <pivotArea field="3" type="button" dataOnly="0" labelOnly="1" outline="0" axis="axisRow" fieldPosition="3"/>
    </format>
    <format dxfId="68">
      <pivotArea field="4" type="button" dataOnly="0" labelOnly="1" outline="0" axis="axisRow" fieldPosition="5"/>
    </format>
    <format dxfId="67">
      <pivotArea field="5" type="button" dataOnly="0" labelOnly="1" outline="0" axis="axisRow" fieldPosition="4"/>
    </format>
    <format dxfId="66">
      <pivotArea field="6" type="button" dataOnly="0" labelOnly="1" outline="0" axis="axisRow" fieldPosition="6"/>
    </format>
    <format dxfId="65">
      <pivotArea field="7" type="button" dataOnly="0" labelOnly="1" outline="0" axis="axisRow" fieldPosition="7"/>
    </format>
    <format dxfId="64">
      <pivotArea field="0" type="button" dataOnly="0" labelOnly="1" outline="0" axis="axisRow" fieldPosition="0"/>
    </format>
    <format dxfId="63">
      <pivotArea field="1" type="button" dataOnly="0" labelOnly="1" outline="0" axis="axisRow" fieldPosition="1"/>
    </format>
    <format dxfId="62">
      <pivotArea field="2" type="button" dataOnly="0" labelOnly="1" outline="0" axis="axisRow" fieldPosition="2"/>
    </format>
    <format dxfId="61">
      <pivotArea field="3" type="button" dataOnly="0" labelOnly="1" outline="0" axis="axisRow" fieldPosition="3"/>
    </format>
    <format dxfId="60">
      <pivotArea field="4" type="button" dataOnly="0" labelOnly="1" outline="0" axis="axisRow" fieldPosition="5"/>
    </format>
    <format dxfId="59">
      <pivotArea field="5" type="button" dataOnly="0" labelOnly="1" outline="0" axis="axisRow" fieldPosition="4"/>
    </format>
    <format dxfId="58">
      <pivotArea field="6" type="button" dataOnly="0" labelOnly="1" outline="0" axis="axisRow" fieldPosition="6"/>
    </format>
    <format dxfId="57">
      <pivotArea field="7" type="button" dataOnly="0" labelOnly="1" outline="0" axis="axisRow" fieldPosition="7"/>
    </format>
    <format dxfId="56">
      <pivotArea dataOnly="0" labelOnly="1" outline="0" fieldPosition="0">
        <references count="1">
          <reference field="4294967294" count="2">
            <x v="0"/>
            <x v="1"/>
          </reference>
        </references>
      </pivotArea>
    </format>
    <format dxfId="55">
      <pivotArea field="0" type="button" dataOnly="0" labelOnly="1" outline="0" axis="axisRow" fieldPosition="0"/>
    </format>
    <format dxfId="54">
      <pivotArea field="1" type="button" dataOnly="0" labelOnly="1" outline="0" axis="axisRow" fieldPosition="1"/>
    </format>
    <format dxfId="53">
      <pivotArea field="2" type="button" dataOnly="0" labelOnly="1" outline="0" axis="axisRow" fieldPosition="2"/>
    </format>
    <format dxfId="52">
      <pivotArea field="3" type="button" dataOnly="0" labelOnly="1" outline="0" axis="axisRow" fieldPosition="3"/>
    </format>
    <format dxfId="51">
      <pivotArea field="4" type="button" dataOnly="0" labelOnly="1" outline="0" axis="axisRow" fieldPosition="5"/>
    </format>
    <format dxfId="50">
      <pivotArea field="5" type="button" dataOnly="0" labelOnly="1" outline="0" axis="axisRow" fieldPosition="4"/>
    </format>
    <format dxfId="49">
      <pivotArea field="6" type="button" dataOnly="0" labelOnly="1" outline="0" axis="axisRow" fieldPosition="6"/>
    </format>
    <format dxfId="48">
      <pivotArea field="7" type="button" dataOnly="0" labelOnly="1" outline="0" axis="axisRow" fieldPosition="7"/>
    </format>
    <format dxfId="47">
      <pivotArea dataOnly="0" labelOnly="1" outline="0" fieldPosition="0">
        <references count="1">
          <reference field="4294967294" count="2">
            <x v="0"/>
            <x v="1"/>
          </reference>
        </references>
      </pivotArea>
    </format>
    <format dxfId="46">
      <pivotArea field="0" type="button" dataOnly="0" labelOnly="1" outline="0" axis="axisRow" fieldPosition="0"/>
    </format>
    <format dxfId="45">
      <pivotArea field="1" type="button" dataOnly="0" labelOnly="1" outline="0" axis="axisRow" fieldPosition="1"/>
    </format>
    <format dxfId="44">
      <pivotArea field="2" type="button" dataOnly="0" labelOnly="1" outline="0" axis="axisRow" fieldPosition="2"/>
    </format>
    <format dxfId="43">
      <pivotArea field="3" type="button" dataOnly="0" labelOnly="1" outline="0" axis="axisRow" fieldPosition="3"/>
    </format>
    <format dxfId="42">
      <pivotArea field="4" type="button" dataOnly="0" labelOnly="1" outline="0" axis="axisRow" fieldPosition="5"/>
    </format>
    <format dxfId="41">
      <pivotArea field="5" type="button" dataOnly="0" labelOnly="1" outline="0" axis="axisRow" fieldPosition="4"/>
    </format>
    <format dxfId="40">
      <pivotArea field="6" type="button" dataOnly="0" labelOnly="1" outline="0" axis="axisRow" fieldPosition="6"/>
    </format>
    <format dxfId="39">
      <pivotArea field="7" type="button" dataOnly="0" labelOnly="1" outline="0" axis="axisRow" fieldPosition="7"/>
    </format>
    <format dxfId="38">
      <pivotArea dataOnly="0" labelOnly="1" outline="0" fieldPosition="0">
        <references count="1">
          <reference field="4294967294" count="2">
            <x v="0"/>
            <x v="1"/>
          </reference>
        </references>
      </pivotArea>
    </format>
    <format dxfId="37">
      <pivotArea field="0" type="button" dataOnly="0" labelOnly="1" outline="0" axis="axisRow" fieldPosition="0"/>
    </format>
    <format dxfId="36">
      <pivotArea field="1" type="button" dataOnly="0" labelOnly="1" outline="0" axis="axisRow" fieldPosition="1"/>
    </format>
    <format dxfId="35">
      <pivotArea field="2" type="button" dataOnly="0" labelOnly="1" outline="0" axis="axisRow" fieldPosition="2"/>
    </format>
    <format dxfId="34">
      <pivotArea field="3" type="button" dataOnly="0" labelOnly="1" outline="0" axis="axisRow" fieldPosition="3"/>
    </format>
    <format dxfId="33">
      <pivotArea field="4" type="button" dataOnly="0" labelOnly="1" outline="0" axis="axisRow" fieldPosition="5"/>
    </format>
    <format dxfId="32">
      <pivotArea field="5" type="button" dataOnly="0" labelOnly="1" outline="0" axis="axisRow" fieldPosition="4"/>
    </format>
    <format dxfId="31">
      <pivotArea field="6" type="button" dataOnly="0" labelOnly="1" outline="0" axis="axisRow" fieldPosition="6"/>
    </format>
    <format dxfId="30">
      <pivotArea field="7" type="button" dataOnly="0" labelOnly="1" outline="0" axis="axisRow" fieldPosition="7"/>
    </format>
    <format dxfId="29">
      <pivotArea dataOnly="0" labelOnly="1" outline="0" fieldPosition="0">
        <references count="1">
          <reference field="4294967294" count="2">
            <x v="0"/>
            <x v="1"/>
          </reference>
        </references>
      </pivotArea>
    </format>
    <format dxfId="28">
      <pivotArea field="4" type="button" dataOnly="0" labelOnly="1" outline="0" axis="axisRow" fieldPosition="5"/>
    </format>
    <format dxfId="27">
      <pivotArea field="6" type="button" dataOnly="0" labelOnly="1" outline="0" axis="axisRow" fieldPosition="6"/>
    </format>
    <format dxfId="26">
      <pivotArea field="7" type="button" dataOnly="0" labelOnly="1" outline="0" axis="axisRow" fieldPosition="7"/>
    </format>
    <format dxfId="25">
      <pivotArea dataOnly="0" labelOnly="1" grandRow="1" outline="0" fieldPosition="0"/>
    </format>
    <format dxfId="24">
      <pivotArea dataOnly="0" labelOnly="1" outline="0" fieldPosition="0">
        <references count="1">
          <reference field="6" count="0"/>
        </references>
      </pivotArea>
    </format>
    <format dxfId="23">
      <pivotArea dataOnly="0" labelOnly="1" outline="0" fieldPosition="0">
        <references count="1">
          <reference field="4" count="0"/>
        </references>
      </pivotArea>
    </format>
    <format dxfId="22">
      <pivotArea outline="0" collapsedLevelsAreSubtotals="1" fieldPosition="0"/>
    </format>
    <format dxfId="21">
      <pivotArea dataOnly="0" labelOnly="1" outline="0" fieldPosition="0">
        <references count="1">
          <reference field="4294967294" count="2">
            <x v="0"/>
            <x v="1"/>
          </reference>
        </references>
      </pivotArea>
    </format>
    <format dxfId="20">
      <pivotArea dataOnly="0" labelOnly="1" outline="0" fieldPosition="0">
        <references count="4">
          <reference field="0" count="0" selected="0"/>
          <reference field="1" count="0" selected="0"/>
          <reference field="2" count="0" selected="0"/>
          <reference field="3"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BCFFF3-195F-4C92-8A2E-C048CA24D4C9}" name="Days_Completed" cacheId="22" dataOnRows="1"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6">
  <location ref="I2:J4" firstHeaderRow="1" firstDataRow="1" firstDataCol="1"/>
  <pivotFields count="10">
    <pivotField showAll="0">
      <items count="6">
        <item x="1"/>
        <item x="3"/>
        <item x="2"/>
        <item x="4"/>
        <item x="0"/>
        <item t="default"/>
      </items>
    </pivotField>
    <pivotField showAll="0"/>
    <pivotField showAll="0">
      <items count="6">
        <item x="2"/>
        <item x="0"/>
        <item x="3"/>
        <item x="4"/>
        <item x="1"/>
        <item t="default"/>
      </items>
    </pivotField>
    <pivotField numFmtId="14" showAll="0"/>
    <pivotField dataField="1" showAll="0"/>
    <pivotField numFmtId="14" showAll="0"/>
    <pivotField dataField="1" numFmtId="3" showAll="0"/>
    <pivotField numFmtId="9" showAll="0"/>
    <pivotField numFmtId="3" showAll="0"/>
    <pivotField numFmtId="3" showAll="0"/>
  </pivotFields>
  <rowFields count="1">
    <field x="-2"/>
  </rowFields>
  <rowItems count="2">
    <i>
      <x/>
    </i>
    <i i="1">
      <x v="1"/>
    </i>
  </rowItems>
  <colItems count="1">
    <i/>
  </colItems>
  <dataFields count="2">
    <dataField name="Days completed " fld="6" baseField="0" baseItem="0"/>
    <dataField name="Duration "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DFB2C1-F4B8-49AF-A1F4-4361E5203E0E}" name="Budget_v_Actual" cacheId="22"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4">
  <location ref="B2:C3" firstHeaderRow="0" firstDataRow="1" firstDataCol="0"/>
  <pivotFields count="10">
    <pivotField showAll="0">
      <items count="6">
        <item x="1"/>
        <item x="3"/>
        <item x="2"/>
        <item x="4"/>
        <item x="0"/>
        <item t="default"/>
      </items>
    </pivotField>
    <pivotField showAll="0"/>
    <pivotField showAll="0">
      <items count="6">
        <item x="2"/>
        <item x="0"/>
        <item x="3"/>
        <item x="4"/>
        <item x="1"/>
        <item t="default"/>
      </items>
    </pivotField>
    <pivotField numFmtId="14" showAll="0"/>
    <pivotField showAll="0"/>
    <pivotField numFmtId="14" showAll="0"/>
    <pivotField numFmtId="3" showAll="0"/>
    <pivotField numFmtId="9" showAll="0"/>
    <pivotField dataField="1" numFmtId="3" showAll="0"/>
    <pivotField dataField="1" numFmtId="3" showAll="0"/>
  </pivotFields>
  <rowItems count="1">
    <i/>
  </rowItems>
  <colFields count="1">
    <field x="-2"/>
  </colFields>
  <colItems count="2">
    <i>
      <x/>
    </i>
    <i i="1">
      <x v="1"/>
    </i>
  </colItems>
  <dataFields count="2">
    <dataField name="Actual " fld="9" baseField="0" baseItem="1" numFmtId="165"/>
    <dataField name="Budget " fld="8" baseField="0" baseItem="1" numFmtId="165"/>
  </dataFields>
  <chartFormats count="7">
    <chartFormat chart="15" format="5" series="1">
      <pivotArea type="data" outline="0" fieldPosition="0">
        <references count="1">
          <reference field="4294967294" count="1" selected="0">
            <x v="0"/>
          </reference>
        </references>
      </pivotArea>
    </chartFormat>
    <chartFormat chart="15" format="6">
      <pivotArea type="data" outline="0" fieldPosition="0">
        <references count="1">
          <reference field="4294967294" count="1" selected="0">
            <x v="0"/>
          </reference>
        </references>
      </pivotArea>
    </chartFormat>
    <chartFormat chart="15" format="7">
      <pivotArea type="data" outline="0" fieldPosition="0">
        <references count="1">
          <reference field="4294967294"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3">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67259FD2-1E7C-4EC4-8B26-4EAF663DF469}" sourceName="Project">
  <pivotTables>
    <pivotTable tabId="3" name="Gantt"/>
    <pivotTable tabId="4" name="Days_Completed"/>
    <pivotTable tabId="4" name="Budget_v_Actual"/>
  </pivotTables>
  <data>
    <tabular pivotCacheId="739774749">
      <items count="5">
        <i x="1" s="1"/>
        <i x="3" s="1"/>
        <i x="2"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85541149-F8D2-44DB-8264-99EA277BA395}" sourceName="Manager">
  <pivotTables>
    <pivotTable tabId="3" name="Gantt"/>
    <pivotTable tabId="4" name="Budget_v_Actual"/>
    <pivotTable tabId="4" name="Days_Completed"/>
  </pivotTables>
  <data>
    <tabular pivotCacheId="739774749">
      <items count="5">
        <i x="2" s="1"/>
        <i x="0" s="1"/>
        <i x="3" s="1"/>
        <i x="4"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xr10:uid="{CF1C5EB0-B233-40B5-9BA2-807F513929C5}" cache="Slicer_Project" caption="Project" columnCount="5" style="SlicerStyleLight2" rowHeight="252000"/>
  <slicer name="Manager" xr10:uid="{569AF20E-71BB-43BA-9D6A-4142E89561C6}" cache="Slicer_Manager" caption="Manager" columnCount="5" style="SlicerStyleLight2"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D3C948-3701-4929-B04F-010B6EBC2A77}" name="Table1" displayName="Table1" ref="A1:J41" totalsRowShown="0">
  <autoFilter ref="A1:J41" xr:uid="{7E21CF9F-AD78-47F7-B4FB-8E64E3714907}"/>
  <sortState xmlns:xlrd2="http://schemas.microsoft.com/office/spreadsheetml/2017/richdata2" ref="A2:J1">
    <sortCondition ref="B1"/>
  </sortState>
  <tableColumns count="10">
    <tableColumn id="1" xr3:uid="{4ADE78FA-797E-461B-818D-4E6F917859D6}" name="Project" dataDxfId="19"/>
    <tableColumn id="2" xr3:uid="{F9E92030-47E5-4A86-AB73-A1AA5209CD55}" name="Task" dataDxfId="18"/>
    <tableColumn id="3" xr3:uid="{643837EC-0E87-4517-8311-405E12C9047D}" name="Manager"/>
    <tableColumn id="4" xr3:uid="{D2195ACD-57B1-4029-9C54-9ACCE862FA18}" name="Start Date" dataDxfId="17"/>
    <tableColumn id="5" xr3:uid="{A5BEB9B6-A13C-4735-8C93-943512962E1A}" name="Duration" dataDxfId="16">
      <calculatedColumnFormula>Table1[[#This Row],[End Date]]-Table1[[#This Row],[Start Date]]</calculatedColumnFormula>
    </tableColumn>
    <tableColumn id="9" xr3:uid="{9A8390CA-408A-41FE-A909-4D1F9E77E3F2}" name="End Date" dataDxfId="1">
      <calculatedColumnFormula>Table1[[#This Row],[Start Date]]+Table1[[#This Row],[Duration]]</calculatedColumnFormula>
    </tableColumn>
    <tableColumn id="10" xr3:uid="{06B5F73C-C916-4EC2-88F2-098623EC6F35}" name="Days completed" dataDxfId="15"/>
    <tableColumn id="6" xr3:uid="{704AC253-E86F-4A7F-BD63-4569C494A728}" name="Progress" dataDxfId="0" dataCellStyle="Porcentaje">
      <calculatedColumnFormula>Table1[[#This Row],[Days completed]]/Table1[[#This Row],[Duration]]</calculatedColumnFormula>
    </tableColumn>
    <tableColumn id="7" xr3:uid="{459C1C51-A35C-450A-B0F0-EA7E00C33AA1}" name="Budget" dataDxfId="14"/>
    <tableColumn id="8" xr3:uid="{CC94112E-5637-4797-9BDD-BFCC8197D1AB}" name="Actual" dataDxfId="13"/>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Project Management">
      <a:dk1>
        <a:sysClr val="windowText" lastClr="000000"/>
      </a:dk1>
      <a:lt1>
        <a:sysClr val="window" lastClr="FFFFFF"/>
      </a:lt1>
      <a:dk2>
        <a:srgbClr val="335B74"/>
      </a:dk2>
      <a:lt2>
        <a:srgbClr val="DFE3E5"/>
      </a:lt2>
      <a:accent1>
        <a:srgbClr val="FF7C80"/>
      </a:accent1>
      <a:accent2>
        <a:srgbClr val="83B6B4"/>
      </a:accent2>
      <a:accent3>
        <a:srgbClr val="27CED7"/>
      </a:accent3>
      <a:accent4>
        <a:srgbClr val="42BA97"/>
      </a:accent4>
      <a:accent5>
        <a:srgbClr val="3E8853"/>
      </a:accent5>
      <a:accent6>
        <a:srgbClr val="2683C6"/>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4A622-392D-4C11-8CA1-FC8F5D8F121A}">
  <sheetPr codeName="Sheet1">
    <tabColor rgb="FF92D050"/>
    <pageSetUpPr fitToPage="1"/>
  </sheetPr>
  <dimension ref="A1:BA85"/>
  <sheetViews>
    <sheetView showGridLines="0" tabSelected="1" zoomScale="85" zoomScaleNormal="85" workbookViewId="0">
      <pane ySplit="5" topLeftCell="A6" activePane="bottomLeft" state="frozen"/>
      <selection pane="bottomLeft" activeCell="Z3" sqref="Z3"/>
    </sheetView>
  </sheetViews>
  <sheetFormatPr baseColWidth="10" defaultColWidth="9.140625" defaultRowHeight="15" x14ac:dyDescent="0.25"/>
  <cols>
    <col min="1" max="1" width="29.7109375" bestFit="1" customWidth="1"/>
    <col min="2" max="2" width="7.7109375" bestFit="1" customWidth="1"/>
    <col min="3" max="3" width="10.7109375" customWidth="1"/>
    <col min="4" max="4" width="15.140625" style="7" bestFit="1" customWidth="1"/>
    <col min="5" max="5" width="16.28515625" style="6" bestFit="1" customWidth="1"/>
    <col min="6" max="6" width="11" style="7" customWidth="1"/>
    <col min="7" max="7" width="18.5703125" style="6" bestFit="1" customWidth="1"/>
    <col min="8" max="8" width="10.85546875" style="13" bestFit="1" customWidth="1"/>
    <col min="9" max="9" width="11.7109375" style="28" bestFit="1" customWidth="1"/>
    <col min="10" max="10" width="10.85546875" style="28" bestFit="1" customWidth="1"/>
    <col min="11" max="28" width="7" bestFit="1" customWidth="1"/>
    <col min="29" max="36" width="7.140625" bestFit="1" customWidth="1"/>
    <col min="37" max="37" width="19" customWidth="1"/>
  </cols>
  <sheetData>
    <row r="1" spans="1:53" ht="33.75" customHeight="1" x14ac:dyDescent="0.35">
      <c r="A1" s="34" t="s">
        <v>36</v>
      </c>
      <c r="B1" s="29"/>
      <c r="C1" s="29"/>
      <c r="D1" s="37" t="s">
        <v>38</v>
      </c>
      <c r="E1" s="34" t="str">
        <f>TEXT(MIN(D6:D51), "d-mmm-aa") &amp; " to " &amp; TEXT(MAX(E6:E51), "d-mmm-aa")</f>
        <v>17-jun-22 to 4-ago-22</v>
      </c>
      <c r="F1" s="35"/>
      <c r="G1" s="36" t="s">
        <v>39</v>
      </c>
      <c r="H1" s="30"/>
      <c r="I1" s="31"/>
      <c r="J1" s="32"/>
      <c r="K1" s="29"/>
      <c r="L1" s="29"/>
      <c r="M1" s="29"/>
      <c r="N1" s="29"/>
      <c r="O1" s="29"/>
      <c r="P1" s="29"/>
      <c r="Q1" s="33"/>
      <c r="R1" s="29"/>
      <c r="S1" s="33"/>
      <c r="T1" s="29"/>
      <c r="U1" s="29"/>
      <c r="V1" s="29"/>
      <c r="W1" s="29"/>
      <c r="X1" s="29"/>
      <c r="Y1" s="29"/>
      <c r="Z1" s="29"/>
      <c r="AA1" s="29"/>
      <c r="AB1" s="29"/>
      <c r="AC1" s="29"/>
      <c r="AD1" s="29"/>
      <c r="AE1" s="29"/>
      <c r="AF1" s="29"/>
      <c r="AG1" s="29"/>
      <c r="AH1" s="29"/>
      <c r="AI1" s="29"/>
      <c r="AJ1" s="29"/>
    </row>
    <row r="2" spans="1:53" ht="21.75" customHeight="1" x14ac:dyDescent="0.25"/>
    <row r="3" spans="1:53" ht="21.75" customHeight="1" x14ac:dyDescent="0.25">
      <c r="D3"/>
    </row>
    <row r="4" spans="1:53" ht="25.5" customHeight="1" x14ac:dyDescent="0.25">
      <c r="B4" s="16"/>
      <c r="F4" s="6"/>
      <c r="G4" s="13"/>
    </row>
    <row r="5" spans="1:53" s="9" customFormat="1" ht="21" customHeight="1" x14ac:dyDescent="0.25">
      <c r="A5" s="41" t="s">
        <v>0</v>
      </c>
      <c r="B5" s="41" t="s">
        <v>1</v>
      </c>
      <c r="C5" s="41" t="s">
        <v>8</v>
      </c>
      <c r="D5" s="42" t="s">
        <v>2</v>
      </c>
      <c r="E5" s="42" t="s">
        <v>9</v>
      </c>
      <c r="F5" s="42" t="s">
        <v>7</v>
      </c>
      <c r="G5" s="42" t="s">
        <v>11</v>
      </c>
      <c r="H5" s="41" t="s">
        <v>3</v>
      </c>
      <c r="I5" s="44" t="s">
        <v>12</v>
      </c>
      <c r="J5" s="44" t="s">
        <v>13</v>
      </c>
      <c r="K5" s="18" cm="1">
        <f t="array" ref="K5:AJ5">_xlfn.SEQUENCE(1,26,MIN(Table1[Start Date])+'Workings dashboard'!P2,1)</f>
        <v>44729</v>
      </c>
      <c r="L5" s="18">
        <v>44730</v>
      </c>
      <c r="M5" s="18">
        <v>44731</v>
      </c>
      <c r="N5" s="18">
        <v>44732</v>
      </c>
      <c r="O5" s="18">
        <v>44733</v>
      </c>
      <c r="P5" s="18">
        <v>44734</v>
      </c>
      <c r="Q5" s="18">
        <v>44735</v>
      </c>
      <c r="R5" s="18">
        <v>44736</v>
      </c>
      <c r="S5" s="18">
        <v>44737</v>
      </c>
      <c r="T5" s="18">
        <v>44738</v>
      </c>
      <c r="U5" s="18">
        <v>44739</v>
      </c>
      <c r="V5" s="18">
        <v>44740</v>
      </c>
      <c r="W5" s="18">
        <v>44741</v>
      </c>
      <c r="X5" s="18">
        <v>44742</v>
      </c>
      <c r="Y5" s="18">
        <v>44743</v>
      </c>
      <c r="Z5" s="18">
        <v>44744</v>
      </c>
      <c r="AA5" s="18">
        <v>44745</v>
      </c>
      <c r="AB5" s="18">
        <v>44746</v>
      </c>
      <c r="AC5" s="18">
        <v>44747</v>
      </c>
      <c r="AD5" s="18">
        <v>44748</v>
      </c>
      <c r="AE5" s="18">
        <v>44749</v>
      </c>
      <c r="AF5" s="18">
        <v>44750</v>
      </c>
      <c r="AG5" s="18">
        <v>44751</v>
      </c>
      <c r="AH5" s="18">
        <v>44752</v>
      </c>
      <c r="AI5" s="18">
        <v>44753</v>
      </c>
      <c r="AJ5" s="18">
        <v>44754</v>
      </c>
      <c r="AK5" s="12"/>
      <c r="AL5" s="12"/>
      <c r="AM5" s="12"/>
      <c r="AN5" s="12"/>
      <c r="AO5" s="12"/>
      <c r="AP5" s="12"/>
      <c r="AQ5" s="12"/>
      <c r="AR5" s="12"/>
      <c r="AS5" s="12"/>
      <c r="AT5" s="12"/>
      <c r="AU5" s="12"/>
      <c r="AV5" s="12"/>
      <c r="AW5" s="8"/>
      <c r="AX5" s="8"/>
      <c r="AY5" s="8"/>
      <c r="AZ5" s="8"/>
      <c r="BA5" s="8"/>
    </row>
    <row r="6" spans="1:53" x14ac:dyDescent="0.25">
      <c r="A6" t="s">
        <v>51</v>
      </c>
      <c r="B6" t="s">
        <v>4</v>
      </c>
      <c r="C6" t="s">
        <v>54</v>
      </c>
      <c r="D6" s="45">
        <v>44729</v>
      </c>
      <c r="E6" s="1">
        <v>44734</v>
      </c>
      <c r="F6" s="6">
        <v>5</v>
      </c>
      <c r="G6" s="11">
        <v>2</v>
      </c>
      <c r="H6" s="10">
        <v>0.4</v>
      </c>
      <c r="I6" s="28">
        <v>150000</v>
      </c>
      <c r="J6" s="28">
        <v>50000</v>
      </c>
    </row>
    <row r="7" spans="1:53" x14ac:dyDescent="0.25">
      <c r="B7" t="s">
        <v>40</v>
      </c>
      <c r="C7" t="s">
        <v>55</v>
      </c>
      <c r="D7" s="45">
        <v>44730</v>
      </c>
      <c r="E7" s="1">
        <v>44736</v>
      </c>
      <c r="F7" s="6">
        <v>6</v>
      </c>
      <c r="G7" s="11">
        <v>3</v>
      </c>
      <c r="H7" s="10">
        <v>0.5</v>
      </c>
      <c r="I7" s="28">
        <v>150000</v>
      </c>
      <c r="J7" s="28">
        <v>50000</v>
      </c>
    </row>
    <row r="8" spans="1:53" x14ac:dyDescent="0.25">
      <c r="B8" t="s">
        <v>41</v>
      </c>
      <c r="C8" t="s">
        <v>37</v>
      </c>
      <c r="D8" s="45">
        <v>44731</v>
      </c>
      <c r="E8" s="1">
        <v>44741</v>
      </c>
      <c r="F8" s="6">
        <v>10</v>
      </c>
      <c r="G8" s="11">
        <v>4</v>
      </c>
      <c r="H8" s="10">
        <v>0.4</v>
      </c>
      <c r="I8" s="28">
        <v>150000</v>
      </c>
      <c r="J8" s="28">
        <v>50000</v>
      </c>
    </row>
    <row r="9" spans="1:53" x14ac:dyDescent="0.25">
      <c r="B9" t="s">
        <v>42</v>
      </c>
      <c r="C9" t="s">
        <v>54</v>
      </c>
      <c r="D9" s="45">
        <v>44732</v>
      </c>
      <c r="E9" s="1">
        <v>44741</v>
      </c>
      <c r="F9" s="6">
        <v>9</v>
      </c>
      <c r="G9" s="11">
        <v>3</v>
      </c>
      <c r="H9" s="10">
        <v>0.33333333333333331</v>
      </c>
      <c r="I9" s="28">
        <v>150000</v>
      </c>
      <c r="J9" s="28">
        <v>50000</v>
      </c>
    </row>
    <row r="10" spans="1:53" x14ac:dyDescent="0.25">
      <c r="B10" t="s">
        <v>43</v>
      </c>
      <c r="C10" t="s">
        <v>55</v>
      </c>
      <c r="D10" s="45">
        <v>44733</v>
      </c>
      <c r="E10" s="1">
        <v>44737</v>
      </c>
      <c r="F10" s="6">
        <v>4</v>
      </c>
      <c r="G10" s="11">
        <v>1</v>
      </c>
      <c r="H10" s="10">
        <v>0.25</v>
      </c>
      <c r="I10" s="28">
        <v>150000</v>
      </c>
      <c r="J10" s="28">
        <v>50000</v>
      </c>
    </row>
    <row r="11" spans="1:53" x14ac:dyDescent="0.25">
      <c r="B11" t="s">
        <v>44</v>
      </c>
      <c r="C11" t="s">
        <v>37</v>
      </c>
      <c r="D11" s="45">
        <v>44734</v>
      </c>
      <c r="E11" s="1">
        <v>44740</v>
      </c>
      <c r="F11" s="6">
        <v>6</v>
      </c>
      <c r="G11" s="11">
        <v>0</v>
      </c>
      <c r="H11" s="10">
        <v>0</v>
      </c>
      <c r="I11" s="28">
        <v>150000</v>
      </c>
      <c r="J11" s="28">
        <v>50000</v>
      </c>
    </row>
    <row r="12" spans="1:53" x14ac:dyDescent="0.25">
      <c r="B12" t="s">
        <v>45</v>
      </c>
      <c r="C12" t="s">
        <v>54</v>
      </c>
      <c r="D12" s="45">
        <v>44735</v>
      </c>
      <c r="E12" s="1">
        <v>44742</v>
      </c>
      <c r="F12" s="6">
        <v>7</v>
      </c>
      <c r="G12" s="11">
        <v>3</v>
      </c>
      <c r="H12" s="10">
        <v>0.42857142857142855</v>
      </c>
      <c r="I12" s="28">
        <v>150000</v>
      </c>
      <c r="J12" s="28">
        <v>50000</v>
      </c>
    </row>
    <row r="13" spans="1:53" x14ac:dyDescent="0.25">
      <c r="B13" t="s">
        <v>46</v>
      </c>
      <c r="C13" t="s">
        <v>55</v>
      </c>
      <c r="D13" s="45">
        <v>44736</v>
      </c>
      <c r="E13" s="1">
        <v>44741</v>
      </c>
      <c r="F13" s="6">
        <v>5</v>
      </c>
      <c r="G13" s="11">
        <v>2</v>
      </c>
      <c r="H13" s="10">
        <v>0.4</v>
      </c>
      <c r="I13" s="28">
        <v>150000</v>
      </c>
      <c r="J13" s="28">
        <v>50000</v>
      </c>
    </row>
    <row r="14" spans="1:53" x14ac:dyDescent="0.25">
      <c r="B14" t="s">
        <v>47</v>
      </c>
      <c r="C14" t="s">
        <v>37</v>
      </c>
      <c r="D14" s="45">
        <v>44737</v>
      </c>
      <c r="E14" s="1">
        <v>44746</v>
      </c>
      <c r="F14" s="6">
        <v>9</v>
      </c>
      <c r="G14" s="11">
        <v>1</v>
      </c>
      <c r="H14" s="10">
        <v>0.1111111111111111</v>
      </c>
      <c r="I14" s="28">
        <v>150000</v>
      </c>
      <c r="J14" s="28">
        <v>50000</v>
      </c>
    </row>
    <row r="15" spans="1:53" x14ac:dyDescent="0.25">
      <c r="B15" t="s">
        <v>48</v>
      </c>
      <c r="C15" t="s">
        <v>56</v>
      </c>
      <c r="D15" s="45">
        <v>44738</v>
      </c>
      <c r="E15" s="1">
        <v>44744</v>
      </c>
      <c r="F15" s="6">
        <v>6</v>
      </c>
      <c r="G15" s="11">
        <v>3</v>
      </c>
      <c r="H15" s="10">
        <v>0.5</v>
      </c>
      <c r="I15" s="28">
        <v>150000</v>
      </c>
      <c r="J15" s="28">
        <v>50000</v>
      </c>
    </row>
    <row r="16" spans="1:53" x14ac:dyDescent="0.25">
      <c r="A16" t="s">
        <v>49</v>
      </c>
      <c r="B16" t="s">
        <v>4</v>
      </c>
      <c r="C16" t="s">
        <v>55</v>
      </c>
      <c r="D16" s="45">
        <v>44739</v>
      </c>
      <c r="E16" s="1">
        <v>44746</v>
      </c>
      <c r="F16" s="6">
        <v>7</v>
      </c>
      <c r="G16" s="11">
        <v>7</v>
      </c>
      <c r="H16" s="10">
        <v>1</v>
      </c>
      <c r="I16" s="28">
        <v>150000</v>
      </c>
      <c r="J16" s="28">
        <v>50000</v>
      </c>
    </row>
    <row r="17" spans="1:10" x14ac:dyDescent="0.25">
      <c r="B17" t="s">
        <v>40</v>
      </c>
      <c r="C17" t="s">
        <v>37</v>
      </c>
      <c r="D17" s="45">
        <v>44740</v>
      </c>
      <c r="E17" s="1">
        <v>44749</v>
      </c>
      <c r="F17" s="6">
        <v>9</v>
      </c>
      <c r="G17" s="11">
        <v>4</v>
      </c>
      <c r="H17" s="10">
        <v>0.44444444444444442</v>
      </c>
      <c r="I17" s="28">
        <v>150000</v>
      </c>
      <c r="J17" s="28">
        <v>50000</v>
      </c>
    </row>
    <row r="18" spans="1:10" x14ac:dyDescent="0.25">
      <c r="B18" t="s">
        <v>41</v>
      </c>
      <c r="C18" t="s">
        <v>54</v>
      </c>
      <c r="D18" s="45">
        <v>44741</v>
      </c>
      <c r="E18" s="1">
        <v>44749</v>
      </c>
      <c r="F18" s="6">
        <v>8</v>
      </c>
      <c r="G18" s="11">
        <v>0</v>
      </c>
      <c r="H18" s="10">
        <v>0</v>
      </c>
      <c r="I18" s="28">
        <v>150000</v>
      </c>
      <c r="J18" s="28">
        <v>50000</v>
      </c>
    </row>
    <row r="19" spans="1:10" x14ac:dyDescent="0.25">
      <c r="B19" t="s">
        <v>42</v>
      </c>
      <c r="C19" t="s">
        <v>55</v>
      </c>
      <c r="D19" s="45">
        <v>44742</v>
      </c>
      <c r="E19" s="1">
        <v>44749</v>
      </c>
      <c r="F19" s="6">
        <v>7</v>
      </c>
      <c r="G19" s="11">
        <v>3</v>
      </c>
      <c r="H19" s="10">
        <v>0.42857142857142855</v>
      </c>
      <c r="I19" s="28">
        <v>150000</v>
      </c>
      <c r="J19" s="28">
        <v>50000</v>
      </c>
    </row>
    <row r="20" spans="1:10" x14ac:dyDescent="0.25">
      <c r="B20" t="s">
        <v>43</v>
      </c>
      <c r="C20" t="s">
        <v>37</v>
      </c>
      <c r="D20" s="45">
        <v>44743</v>
      </c>
      <c r="E20" s="1">
        <v>44747</v>
      </c>
      <c r="F20" s="6">
        <v>4</v>
      </c>
      <c r="G20" s="11">
        <v>1</v>
      </c>
      <c r="H20" s="10">
        <v>0.25</v>
      </c>
      <c r="I20" s="28">
        <v>150000</v>
      </c>
      <c r="J20" s="28">
        <v>50000</v>
      </c>
    </row>
    <row r="21" spans="1:10" x14ac:dyDescent="0.25">
      <c r="B21" t="s">
        <v>44</v>
      </c>
      <c r="C21" t="s">
        <v>54</v>
      </c>
      <c r="D21" s="45">
        <v>44744</v>
      </c>
      <c r="E21" s="1">
        <v>44750</v>
      </c>
      <c r="F21" s="6">
        <v>6</v>
      </c>
      <c r="G21" s="11">
        <v>3</v>
      </c>
      <c r="H21" s="10">
        <v>0.5</v>
      </c>
      <c r="I21" s="28">
        <v>150000</v>
      </c>
      <c r="J21" s="28">
        <v>50000</v>
      </c>
    </row>
    <row r="22" spans="1:10" x14ac:dyDescent="0.25">
      <c r="B22" t="s">
        <v>45</v>
      </c>
      <c r="C22" t="s">
        <v>55</v>
      </c>
      <c r="D22" s="45">
        <v>44745</v>
      </c>
      <c r="E22" s="1">
        <v>44751</v>
      </c>
      <c r="F22" s="6">
        <v>6</v>
      </c>
      <c r="G22" s="11">
        <v>5</v>
      </c>
      <c r="H22" s="10">
        <v>0.83333333333333337</v>
      </c>
      <c r="I22" s="28">
        <v>150000</v>
      </c>
      <c r="J22" s="28">
        <v>50000</v>
      </c>
    </row>
    <row r="23" spans="1:10" x14ac:dyDescent="0.25">
      <c r="B23" t="s">
        <v>46</v>
      </c>
      <c r="C23" t="s">
        <v>37</v>
      </c>
      <c r="D23" s="45">
        <v>44746</v>
      </c>
      <c r="E23" s="1">
        <v>44750</v>
      </c>
      <c r="F23" s="6">
        <v>4</v>
      </c>
      <c r="G23" s="11">
        <v>1</v>
      </c>
      <c r="H23" s="10">
        <v>0.25</v>
      </c>
      <c r="I23" s="28">
        <v>150000</v>
      </c>
      <c r="J23" s="28">
        <v>50000</v>
      </c>
    </row>
    <row r="24" spans="1:10" x14ac:dyDescent="0.25">
      <c r="B24" t="s">
        <v>47</v>
      </c>
      <c r="C24" t="s">
        <v>54</v>
      </c>
      <c r="D24" s="45">
        <v>44747</v>
      </c>
      <c r="E24" s="1">
        <v>44754</v>
      </c>
      <c r="F24" s="6">
        <v>7</v>
      </c>
      <c r="G24" s="11">
        <v>3</v>
      </c>
      <c r="H24" s="10">
        <v>0.42857142857142855</v>
      </c>
      <c r="I24" s="28">
        <v>150000</v>
      </c>
      <c r="J24" s="28">
        <v>50000</v>
      </c>
    </row>
    <row r="25" spans="1:10" x14ac:dyDescent="0.25">
      <c r="B25" t="s">
        <v>48</v>
      </c>
      <c r="C25" t="s">
        <v>55</v>
      </c>
      <c r="D25" s="45">
        <v>44748</v>
      </c>
      <c r="E25" s="1">
        <v>44751</v>
      </c>
      <c r="F25" s="6">
        <v>3</v>
      </c>
      <c r="G25" s="11">
        <v>3</v>
      </c>
      <c r="H25" s="10">
        <v>1</v>
      </c>
      <c r="I25" s="28">
        <v>150000</v>
      </c>
      <c r="J25" s="28">
        <v>50000</v>
      </c>
    </row>
    <row r="26" spans="1:10" x14ac:dyDescent="0.25">
      <c r="A26" t="s">
        <v>50</v>
      </c>
      <c r="B26" t="s">
        <v>4</v>
      </c>
      <c r="C26" t="s">
        <v>37</v>
      </c>
      <c r="D26" s="45">
        <v>44749</v>
      </c>
      <c r="E26" s="1">
        <v>44759</v>
      </c>
      <c r="F26" s="6">
        <v>10</v>
      </c>
      <c r="G26" s="11">
        <v>5</v>
      </c>
      <c r="H26" s="10">
        <v>0.5</v>
      </c>
      <c r="I26" s="28">
        <v>150000</v>
      </c>
      <c r="J26" s="28">
        <v>50000</v>
      </c>
    </row>
    <row r="27" spans="1:10" x14ac:dyDescent="0.25">
      <c r="B27" t="s">
        <v>40</v>
      </c>
      <c r="C27" t="s">
        <v>54</v>
      </c>
      <c r="D27" s="45">
        <v>44750</v>
      </c>
      <c r="E27" s="1">
        <v>44755</v>
      </c>
      <c r="F27" s="6">
        <v>5</v>
      </c>
      <c r="G27" s="11">
        <v>4</v>
      </c>
      <c r="H27" s="10">
        <v>0.8</v>
      </c>
      <c r="I27" s="28">
        <v>150000</v>
      </c>
      <c r="J27" s="28">
        <v>50000</v>
      </c>
    </row>
    <row r="28" spans="1:10" x14ac:dyDescent="0.25">
      <c r="B28" t="s">
        <v>41</v>
      </c>
      <c r="C28" t="s">
        <v>55</v>
      </c>
      <c r="D28" s="45">
        <v>44751</v>
      </c>
      <c r="E28" s="1">
        <v>44758</v>
      </c>
      <c r="F28" s="6">
        <v>7</v>
      </c>
      <c r="G28" s="11">
        <v>3</v>
      </c>
      <c r="H28" s="10">
        <v>0.42857142857142855</v>
      </c>
      <c r="I28" s="28">
        <v>150000</v>
      </c>
      <c r="J28" s="28">
        <v>50000</v>
      </c>
    </row>
    <row r="29" spans="1:10" x14ac:dyDescent="0.25">
      <c r="B29" t="s">
        <v>42</v>
      </c>
      <c r="C29" t="s">
        <v>37</v>
      </c>
      <c r="D29" s="45">
        <v>44752</v>
      </c>
      <c r="E29" s="1">
        <v>44759</v>
      </c>
      <c r="F29" s="6">
        <v>7</v>
      </c>
      <c r="G29" s="11">
        <v>2</v>
      </c>
      <c r="H29" s="10">
        <v>0.2857142857142857</v>
      </c>
      <c r="I29" s="28">
        <v>150000</v>
      </c>
      <c r="J29" s="28">
        <v>50000</v>
      </c>
    </row>
    <row r="30" spans="1:10" x14ac:dyDescent="0.25">
      <c r="B30" t="s">
        <v>43</v>
      </c>
      <c r="C30" t="s">
        <v>54</v>
      </c>
      <c r="D30" s="45">
        <v>44753</v>
      </c>
      <c r="E30" s="1">
        <v>44756</v>
      </c>
      <c r="F30" s="6">
        <v>3</v>
      </c>
      <c r="G30" s="11">
        <v>2</v>
      </c>
      <c r="H30" s="10">
        <v>0.66666666666666663</v>
      </c>
      <c r="I30" s="28">
        <v>150000</v>
      </c>
      <c r="J30" s="28">
        <v>50000</v>
      </c>
    </row>
    <row r="31" spans="1:10" x14ac:dyDescent="0.25">
      <c r="A31" t="s">
        <v>52</v>
      </c>
      <c r="B31" t="s">
        <v>4</v>
      </c>
      <c r="C31" t="s">
        <v>55</v>
      </c>
      <c r="D31" s="45">
        <v>44754</v>
      </c>
      <c r="E31" s="1">
        <v>44763</v>
      </c>
      <c r="F31" s="6">
        <v>9</v>
      </c>
      <c r="G31" s="11">
        <v>8</v>
      </c>
      <c r="H31" s="10">
        <v>0.88888888888888884</v>
      </c>
      <c r="I31" s="28">
        <v>150000</v>
      </c>
      <c r="J31" s="28">
        <v>50000</v>
      </c>
    </row>
    <row r="32" spans="1:10" x14ac:dyDescent="0.25">
      <c r="B32" t="s">
        <v>40</v>
      </c>
      <c r="C32" t="s">
        <v>37</v>
      </c>
      <c r="D32" s="45">
        <v>44755</v>
      </c>
      <c r="E32" s="1">
        <v>44765</v>
      </c>
      <c r="F32" s="6">
        <v>10</v>
      </c>
      <c r="G32" s="11">
        <v>2</v>
      </c>
      <c r="H32" s="10">
        <v>0.2</v>
      </c>
      <c r="I32" s="28">
        <v>150000</v>
      </c>
      <c r="J32" s="28">
        <v>50000</v>
      </c>
    </row>
    <row r="33" spans="1:10" x14ac:dyDescent="0.25">
      <c r="B33" t="s">
        <v>41</v>
      </c>
      <c r="C33" t="s">
        <v>54</v>
      </c>
      <c r="D33" s="45">
        <v>44756</v>
      </c>
      <c r="E33" s="1">
        <v>44760</v>
      </c>
      <c r="F33" s="6">
        <v>4</v>
      </c>
      <c r="G33" s="11">
        <v>0</v>
      </c>
      <c r="H33" s="10">
        <v>0</v>
      </c>
      <c r="I33" s="28">
        <v>150000</v>
      </c>
      <c r="J33" s="28">
        <v>50000</v>
      </c>
    </row>
    <row r="34" spans="1:10" x14ac:dyDescent="0.25">
      <c r="B34" t="s">
        <v>42</v>
      </c>
      <c r="C34" t="s">
        <v>55</v>
      </c>
      <c r="D34" s="45">
        <v>44757</v>
      </c>
      <c r="E34" s="1">
        <v>44765</v>
      </c>
      <c r="F34" s="6">
        <v>8</v>
      </c>
      <c r="G34" s="11">
        <v>5</v>
      </c>
      <c r="H34" s="10">
        <v>0.625</v>
      </c>
      <c r="I34" s="28">
        <v>150000</v>
      </c>
      <c r="J34" s="28">
        <v>50000</v>
      </c>
    </row>
    <row r="35" spans="1:10" x14ac:dyDescent="0.25">
      <c r="B35" t="s">
        <v>43</v>
      </c>
      <c r="C35" t="s">
        <v>37</v>
      </c>
      <c r="D35" s="45">
        <v>44758</v>
      </c>
      <c r="E35" s="1">
        <v>44768</v>
      </c>
      <c r="F35" s="6">
        <v>10</v>
      </c>
      <c r="G35" s="11">
        <v>3</v>
      </c>
      <c r="H35" s="10">
        <v>0.3</v>
      </c>
      <c r="I35" s="28">
        <v>150000</v>
      </c>
      <c r="J35" s="28">
        <v>50000</v>
      </c>
    </row>
    <row r="36" spans="1:10" x14ac:dyDescent="0.25">
      <c r="B36" t="s">
        <v>44</v>
      </c>
      <c r="C36" t="s">
        <v>54</v>
      </c>
      <c r="D36" s="45">
        <v>44759</v>
      </c>
      <c r="E36" s="1">
        <v>44765</v>
      </c>
      <c r="F36" s="6">
        <v>6</v>
      </c>
      <c r="G36" s="11">
        <v>3</v>
      </c>
      <c r="H36" s="10">
        <v>0.5</v>
      </c>
      <c r="I36" s="28">
        <v>150000</v>
      </c>
      <c r="J36" s="28">
        <v>50000</v>
      </c>
    </row>
    <row r="37" spans="1:10" x14ac:dyDescent="0.25">
      <c r="B37" t="s">
        <v>45</v>
      </c>
      <c r="C37" t="s">
        <v>55</v>
      </c>
      <c r="D37" s="45">
        <v>44760</v>
      </c>
      <c r="E37" s="1">
        <v>44764</v>
      </c>
      <c r="F37" s="6">
        <v>4</v>
      </c>
      <c r="G37" s="11">
        <v>2</v>
      </c>
      <c r="H37" s="10">
        <v>0.5</v>
      </c>
      <c r="I37" s="28">
        <v>400000</v>
      </c>
      <c r="J37" s="28">
        <v>270000</v>
      </c>
    </row>
    <row r="38" spans="1:10" x14ac:dyDescent="0.25">
      <c r="A38" t="s">
        <v>53</v>
      </c>
      <c r="B38" t="s">
        <v>4</v>
      </c>
      <c r="C38" t="s">
        <v>37</v>
      </c>
      <c r="D38" s="45">
        <v>44761</v>
      </c>
      <c r="E38" s="1">
        <v>44769</v>
      </c>
      <c r="F38" s="6">
        <v>8</v>
      </c>
      <c r="G38" s="11">
        <v>3</v>
      </c>
      <c r="H38" s="10">
        <v>0.375</v>
      </c>
      <c r="I38" s="28">
        <v>400000</v>
      </c>
      <c r="J38" s="28">
        <v>270000</v>
      </c>
    </row>
    <row r="39" spans="1:10" x14ac:dyDescent="0.25">
      <c r="B39" t="s">
        <v>40</v>
      </c>
      <c r="C39" t="s">
        <v>54</v>
      </c>
      <c r="D39" s="45">
        <v>44762</v>
      </c>
      <c r="E39" s="1">
        <v>44771</v>
      </c>
      <c r="F39" s="6">
        <v>9</v>
      </c>
      <c r="G39" s="11">
        <v>4</v>
      </c>
      <c r="H39" s="10">
        <v>0.44444444444444442</v>
      </c>
      <c r="I39" s="28">
        <v>400000</v>
      </c>
      <c r="J39" s="28">
        <v>270000</v>
      </c>
    </row>
    <row r="40" spans="1:10" x14ac:dyDescent="0.25">
      <c r="B40" t="s">
        <v>41</v>
      </c>
      <c r="C40" t="s">
        <v>55</v>
      </c>
      <c r="D40" s="45">
        <v>44763</v>
      </c>
      <c r="E40" s="1">
        <v>44768</v>
      </c>
      <c r="F40" s="6">
        <v>5</v>
      </c>
      <c r="G40" s="11">
        <v>3</v>
      </c>
      <c r="H40" s="10">
        <v>0.6</v>
      </c>
      <c r="I40" s="28">
        <v>400000</v>
      </c>
      <c r="J40" s="28">
        <v>270000</v>
      </c>
    </row>
    <row r="41" spans="1:10" x14ac:dyDescent="0.25">
      <c r="B41" t="s">
        <v>42</v>
      </c>
      <c r="C41" t="s">
        <v>37</v>
      </c>
      <c r="D41" s="45">
        <v>44764</v>
      </c>
      <c r="E41" s="1">
        <v>44767</v>
      </c>
      <c r="F41" s="6">
        <v>3</v>
      </c>
      <c r="G41" s="11">
        <v>3</v>
      </c>
      <c r="H41" s="10">
        <v>1</v>
      </c>
      <c r="I41" s="28">
        <v>400000</v>
      </c>
      <c r="J41" s="28">
        <v>270000</v>
      </c>
    </row>
    <row r="42" spans="1:10" x14ac:dyDescent="0.25">
      <c r="B42" t="s">
        <v>43</v>
      </c>
      <c r="C42" t="s">
        <v>54</v>
      </c>
      <c r="D42" s="45">
        <v>44765</v>
      </c>
      <c r="E42" s="1">
        <v>44772</v>
      </c>
      <c r="F42" s="6">
        <v>7</v>
      </c>
      <c r="G42" s="11">
        <v>3</v>
      </c>
      <c r="H42" s="10">
        <v>0.42857142857142855</v>
      </c>
      <c r="I42" s="28">
        <v>400000</v>
      </c>
      <c r="J42" s="28">
        <v>270000</v>
      </c>
    </row>
    <row r="43" spans="1:10" x14ac:dyDescent="0.25">
      <c r="B43" t="s">
        <v>44</v>
      </c>
      <c r="C43" t="s">
        <v>55</v>
      </c>
      <c r="D43" s="45">
        <v>44766</v>
      </c>
      <c r="E43" s="1">
        <v>44776</v>
      </c>
      <c r="F43" s="6">
        <v>10</v>
      </c>
      <c r="G43" s="11">
        <v>2</v>
      </c>
      <c r="H43" s="10">
        <v>0.2</v>
      </c>
      <c r="I43" s="28">
        <v>400000</v>
      </c>
      <c r="J43" s="28">
        <v>270000</v>
      </c>
    </row>
    <row r="44" spans="1:10" x14ac:dyDescent="0.25">
      <c r="B44" t="s">
        <v>45</v>
      </c>
      <c r="C44" t="s">
        <v>37</v>
      </c>
      <c r="D44" s="45">
        <v>44767</v>
      </c>
      <c r="E44" s="1">
        <v>44777</v>
      </c>
      <c r="F44" s="6">
        <v>10</v>
      </c>
      <c r="G44" s="11">
        <v>3</v>
      </c>
      <c r="H44" s="10">
        <v>0.3</v>
      </c>
      <c r="I44" s="28">
        <v>400000</v>
      </c>
      <c r="J44" s="28">
        <v>270000</v>
      </c>
    </row>
    <row r="45" spans="1:10" x14ac:dyDescent="0.25">
      <c r="B45" t="s">
        <v>46</v>
      </c>
      <c r="C45" t="s">
        <v>57</v>
      </c>
      <c r="D45" s="45">
        <v>44768</v>
      </c>
      <c r="E45" s="1">
        <v>44771</v>
      </c>
      <c r="F45" s="6">
        <v>3</v>
      </c>
      <c r="G45" s="11">
        <v>0</v>
      </c>
      <c r="H45" s="10">
        <v>0</v>
      </c>
      <c r="I45" s="28">
        <v>400000</v>
      </c>
      <c r="J45" s="28">
        <v>270000</v>
      </c>
    </row>
    <row r="46" spans="1:10" x14ac:dyDescent="0.25">
      <c r="A46" s="43" t="s">
        <v>33</v>
      </c>
      <c r="B46" s="43"/>
      <c r="C46" s="43"/>
      <c r="D46" s="43"/>
      <c r="E46" s="43"/>
      <c r="F46" s="43"/>
      <c r="G46" s="43"/>
      <c r="H46" s="43"/>
      <c r="I46" s="28">
        <v>8250000</v>
      </c>
      <c r="J46" s="28">
        <v>3980000</v>
      </c>
    </row>
    <row r="47" spans="1:10" x14ac:dyDescent="0.25">
      <c r="D47"/>
      <c r="E47"/>
      <c r="F47"/>
      <c r="G47"/>
      <c r="H47"/>
      <c r="I47"/>
      <c r="J47"/>
    </row>
    <row r="48" spans="1:10" x14ac:dyDescent="0.25">
      <c r="D48"/>
      <c r="E48"/>
      <c r="F48"/>
      <c r="G48"/>
      <c r="H48"/>
      <c r="I48"/>
      <c r="J48"/>
    </row>
    <row r="49" spans="8:8" x14ac:dyDescent="0.25">
      <c r="H49" s="14"/>
    </row>
    <row r="50" spans="8:8" x14ac:dyDescent="0.25">
      <c r="H50" s="14"/>
    </row>
    <row r="51" spans="8:8" x14ac:dyDescent="0.25">
      <c r="H51" s="14"/>
    </row>
    <row r="52" spans="8:8" x14ac:dyDescent="0.25">
      <c r="H52" s="14"/>
    </row>
    <row r="53" spans="8:8" x14ac:dyDescent="0.25">
      <c r="H53" s="14"/>
    </row>
    <row r="54" spans="8:8" x14ac:dyDescent="0.25">
      <c r="H54" s="14"/>
    </row>
    <row r="55" spans="8:8" x14ac:dyDescent="0.25">
      <c r="H55" s="14"/>
    </row>
    <row r="56" spans="8:8" x14ac:dyDescent="0.25">
      <c r="H56" s="14"/>
    </row>
    <row r="57" spans="8:8" x14ac:dyDescent="0.25">
      <c r="H57" s="14"/>
    </row>
    <row r="58" spans="8:8" x14ac:dyDescent="0.25">
      <c r="H58" s="14"/>
    </row>
    <row r="59" spans="8:8" x14ac:dyDescent="0.25">
      <c r="H59" s="14"/>
    </row>
    <row r="60" spans="8:8" x14ac:dyDescent="0.25">
      <c r="H60" s="14"/>
    </row>
    <row r="61" spans="8:8" x14ac:dyDescent="0.25">
      <c r="H61" s="14"/>
    </row>
    <row r="62" spans="8:8" x14ac:dyDescent="0.25">
      <c r="H62" s="14"/>
    </row>
    <row r="63" spans="8:8" x14ac:dyDescent="0.25">
      <c r="H63" s="14"/>
    </row>
    <row r="64" spans="8:8" x14ac:dyDescent="0.25">
      <c r="H64" s="14"/>
    </row>
    <row r="65" spans="8:8" x14ac:dyDescent="0.25">
      <c r="H65" s="14"/>
    </row>
    <row r="66" spans="8:8" x14ac:dyDescent="0.25">
      <c r="H66" s="14"/>
    </row>
    <row r="67" spans="8:8" x14ac:dyDescent="0.25">
      <c r="H67" s="14"/>
    </row>
    <row r="68" spans="8:8" x14ac:dyDescent="0.25">
      <c r="H68" s="14"/>
    </row>
    <row r="69" spans="8:8" x14ac:dyDescent="0.25">
      <c r="H69" s="14"/>
    </row>
    <row r="70" spans="8:8" x14ac:dyDescent="0.25">
      <c r="H70" s="14"/>
    </row>
    <row r="71" spans="8:8" x14ac:dyDescent="0.25">
      <c r="H71" s="14"/>
    </row>
    <row r="72" spans="8:8" x14ac:dyDescent="0.25">
      <c r="H72" s="14"/>
    </row>
    <row r="73" spans="8:8" x14ac:dyDescent="0.25">
      <c r="H73" s="14"/>
    </row>
    <row r="74" spans="8:8" x14ac:dyDescent="0.25">
      <c r="H74" s="14"/>
    </row>
    <row r="75" spans="8:8" x14ac:dyDescent="0.25">
      <c r="H75" s="14"/>
    </row>
    <row r="76" spans="8:8" x14ac:dyDescent="0.25">
      <c r="H76" s="14"/>
    </row>
    <row r="77" spans="8:8" x14ac:dyDescent="0.25">
      <c r="H77" s="14"/>
    </row>
    <row r="78" spans="8:8" x14ac:dyDescent="0.25">
      <c r="H78" s="14"/>
    </row>
    <row r="79" spans="8:8" x14ac:dyDescent="0.25">
      <c r="H79" s="14"/>
    </row>
    <row r="80" spans="8:8" x14ac:dyDescent="0.25">
      <c r="H80" s="14"/>
    </row>
    <row r="81" spans="8:8" x14ac:dyDescent="0.25">
      <c r="H81" s="14"/>
    </row>
    <row r="82" spans="8:8" x14ac:dyDescent="0.25">
      <c r="H82" s="14"/>
    </row>
    <row r="83" spans="8:8" x14ac:dyDescent="0.25">
      <c r="H83" s="14"/>
    </row>
    <row r="84" spans="8:8" x14ac:dyDescent="0.25">
      <c r="H84" s="14"/>
    </row>
    <row r="85" spans="8:8" x14ac:dyDescent="0.25">
      <c r="H85" s="14"/>
    </row>
  </sheetData>
  <conditionalFormatting sqref="H6:H34 H36:H51 AK3">
    <cfRule type="dataBar" priority="5">
      <dataBar>
        <cfvo type="min"/>
        <cfvo type="max"/>
        <color theme="5" tint="0.39997558519241921"/>
      </dataBar>
      <extLst>
        <ext xmlns:x14="http://schemas.microsoft.com/office/spreadsheetml/2009/9/main" uri="{B025F937-C7B1-47D3-B67F-A62EFF666E3E}">
          <x14:id>{00000000-000E-0000-0000-000002000000}</x14:id>
        </ext>
      </extLst>
    </cfRule>
  </conditionalFormatting>
  <conditionalFormatting sqref="K6:AJ34 K36:AJ51">
    <cfRule type="expression" dxfId="12" priority="2" stopIfTrue="1">
      <formula>$A6="Grand Total"</formula>
    </cfRule>
    <cfRule type="expression" dxfId="11" priority="3" stopIfTrue="1">
      <formula>AND(WEEKDAY(K$5,2)&gt;5,$B6&lt;&gt;"")</formula>
    </cfRule>
    <cfRule type="expression" dxfId="10" priority="4">
      <formula>AND(K$5&gt;=$D6,WORKDAY.INTL($D6,$G6,1)-1&gt;=K$5)</formula>
    </cfRule>
    <cfRule type="expression" dxfId="9" priority="6" stopIfTrue="1">
      <formula>AND(K$5&gt;=WORKDAY.INTL($D6,$G6,1),$H6=0,K$5&lt;=$E6)</formula>
    </cfRule>
    <cfRule type="expression" dxfId="8" priority="7">
      <formula>AND(K$5&gt;=WORKDAY.INTL($D6,$G6,1),$H6&lt;&gt;1,K$5&lt;=$E6)</formula>
    </cfRule>
  </conditionalFormatting>
  <conditionalFormatting sqref="K5:AQ5">
    <cfRule type="expression" dxfId="7" priority="8">
      <formula>K$5&lt;&gt;""</formula>
    </cfRule>
  </conditionalFormatting>
  <conditionalFormatting sqref="K35:AJ35">
    <cfRule type="expression" dxfId="6" priority="16" stopIfTrue="1">
      <formula>$A35="Grand Total"</formula>
    </cfRule>
    <cfRule type="expression" dxfId="5" priority="17" stopIfTrue="1">
      <formula>AND(WEEKDAY(K$5,2)&gt;5,$B35&lt;&gt;"")</formula>
    </cfRule>
    <cfRule type="expression" dxfId="4" priority="18">
      <formula>AND(K$5&gt;=$D35,WORKDAY.INTL($D35,$G35,1)-1&gt;=K$5)</formula>
    </cfRule>
    <cfRule type="expression" dxfId="3" priority="19" stopIfTrue="1">
      <formula>AND(K$5&gt;=WORKDAY.INTL($D35,$G35,1),$AK3=0,K$5&lt;=$E35)</formula>
    </cfRule>
    <cfRule type="expression" dxfId="2" priority="20">
      <formula>AND(K$5&gt;=WORKDAY.INTL($D35,$G35,1),$AK3&lt;&gt;1,K$5&lt;=$E35)</formula>
    </cfRule>
  </conditionalFormatting>
  <pageMargins left="0.14000000000000001" right="0.12" top="0.3" bottom="0.12" header="0.3" footer="0.3"/>
  <pageSetup paperSize="9" scale="7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Scroll Bar 1">
              <controlPr defaultSize="0" autoPict="0">
                <anchor moveWithCells="1">
                  <from>
                    <xdr:col>6</xdr:col>
                    <xdr:colOff>1285875</xdr:colOff>
                    <xdr:row>0</xdr:row>
                    <xdr:rowOff>95250</xdr:rowOff>
                  </from>
                  <to>
                    <xdr:col>9</xdr:col>
                    <xdr:colOff>47625</xdr:colOff>
                    <xdr:row>0</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0000000-000E-0000-0000-000002000000}">
            <x14:dataBar minLength="0" maxLength="100" gradient="0">
              <x14:cfvo type="autoMin"/>
              <x14:cfvo type="autoMax"/>
              <x14:negativeFillColor rgb="FFFF0000"/>
              <x14:axisColor rgb="FF000000"/>
            </x14:dataBar>
          </x14:cfRule>
          <xm:sqref>H6:H34 H36:H51 AK3</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31F74-5EFF-4E8A-B22B-18A2CB322995}">
  <sheetPr codeName="Sheet4">
    <tabColor rgb="FF0070C0"/>
  </sheetPr>
  <dimension ref="A1:N41"/>
  <sheetViews>
    <sheetView workbookViewId="0">
      <selection activeCell="G3" sqref="G3"/>
    </sheetView>
  </sheetViews>
  <sheetFormatPr baseColWidth="10" defaultColWidth="9.140625" defaultRowHeight="15" x14ac:dyDescent="0.25"/>
  <cols>
    <col min="1" max="1" width="14.140625" bestFit="1" customWidth="1"/>
    <col min="2" max="2" width="11.5703125" customWidth="1"/>
    <col min="3" max="3" width="13.140625" customWidth="1"/>
    <col min="4" max="4" width="12" style="17" bestFit="1" customWidth="1"/>
    <col min="5" max="5" width="11.7109375" customWidth="1"/>
    <col min="6" max="6" width="11.140625" style="1" bestFit="1" customWidth="1"/>
    <col min="7" max="7" width="17.5703125" style="3" bestFit="1" customWidth="1"/>
    <col min="8" max="8" width="11.140625" style="2" customWidth="1"/>
    <col min="9" max="10" width="10.28515625" customWidth="1"/>
    <col min="12" max="12" width="23.5703125" bestFit="1" customWidth="1"/>
    <col min="13" max="13" width="45.7109375" customWidth="1"/>
    <col min="14" max="14" width="28.7109375" customWidth="1"/>
  </cols>
  <sheetData>
    <row r="1" spans="1:14" ht="60.75" thickBot="1" x14ac:dyDescent="0.3">
      <c r="A1" t="s">
        <v>0</v>
      </c>
      <c r="B1" t="s">
        <v>1</v>
      </c>
      <c r="C1" t="s">
        <v>8</v>
      </c>
      <c r="D1" s="17" t="s">
        <v>2</v>
      </c>
      <c r="E1" t="s">
        <v>7</v>
      </c>
      <c r="F1" s="1" t="s">
        <v>9</v>
      </c>
      <c r="G1" s="3" t="s">
        <v>10</v>
      </c>
      <c r="H1" s="2" t="s">
        <v>3</v>
      </c>
      <c r="I1" t="s">
        <v>5</v>
      </c>
      <c r="J1" t="s">
        <v>6</v>
      </c>
      <c r="M1" s="40" t="s">
        <v>34</v>
      </c>
      <c r="N1" s="40" t="s">
        <v>35</v>
      </c>
    </row>
    <row r="2" spans="1:14" x14ac:dyDescent="0.25">
      <c r="A2" s="39" t="s">
        <v>51</v>
      </c>
      <c r="B2" s="39" t="s">
        <v>4</v>
      </c>
      <c r="C2" t="s">
        <v>54</v>
      </c>
      <c r="D2" s="27">
        <v>44729</v>
      </c>
      <c r="E2">
        <v>5</v>
      </c>
      <c r="F2" s="27">
        <f>Table1[[#This Row],[Start Date]]+Table1[[#This Row],[Duration]]</f>
        <v>44734</v>
      </c>
      <c r="G2" s="3">
        <v>2</v>
      </c>
      <c r="H2" s="2">
        <f>Table1[[#This Row],[Days completed]]/Table1[[#This Row],[Duration]]</f>
        <v>0.4</v>
      </c>
      <c r="I2" s="3">
        <v>150000</v>
      </c>
      <c r="J2" s="3">
        <v>50000</v>
      </c>
    </row>
    <row r="3" spans="1:14" x14ac:dyDescent="0.25">
      <c r="A3" s="39" t="s">
        <v>51</v>
      </c>
      <c r="B3" s="39" t="s">
        <v>40</v>
      </c>
      <c r="C3" t="s">
        <v>55</v>
      </c>
      <c r="D3" s="27">
        <v>44730</v>
      </c>
      <c r="E3">
        <v>6</v>
      </c>
      <c r="F3" s="27">
        <f>Table1[[#This Row],[Start Date]]+Table1[[#This Row],[Duration]]</f>
        <v>44736</v>
      </c>
      <c r="G3" s="3">
        <v>3</v>
      </c>
      <c r="H3" s="2">
        <f>Table1[[#This Row],[Days completed]]/Table1[[#This Row],[Duration]]</f>
        <v>0.5</v>
      </c>
      <c r="I3" s="3">
        <v>150000</v>
      </c>
      <c r="J3" s="3">
        <v>50000</v>
      </c>
    </row>
    <row r="4" spans="1:14" x14ac:dyDescent="0.25">
      <c r="A4" s="39" t="s">
        <v>51</v>
      </c>
      <c r="B4" s="39" t="s">
        <v>41</v>
      </c>
      <c r="C4" t="s">
        <v>37</v>
      </c>
      <c r="D4" s="27">
        <v>44731</v>
      </c>
      <c r="E4">
        <v>10</v>
      </c>
      <c r="F4" s="27">
        <f>Table1[[#This Row],[Start Date]]+Table1[[#This Row],[Duration]]</f>
        <v>44741</v>
      </c>
      <c r="G4" s="3">
        <v>4</v>
      </c>
      <c r="H4" s="2">
        <f>Table1[[#This Row],[Days completed]]/Table1[[#This Row],[Duration]]</f>
        <v>0.4</v>
      </c>
      <c r="I4" s="3">
        <v>150000</v>
      </c>
      <c r="J4" s="3">
        <v>50000</v>
      </c>
    </row>
    <row r="5" spans="1:14" x14ac:dyDescent="0.25">
      <c r="A5" s="39" t="s">
        <v>51</v>
      </c>
      <c r="B5" s="39" t="s">
        <v>42</v>
      </c>
      <c r="C5" t="s">
        <v>54</v>
      </c>
      <c r="D5" s="27">
        <v>44732</v>
      </c>
      <c r="E5">
        <v>9</v>
      </c>
      <c r="F5" s="27">
        <f>Table1[[#This Row],[Start Date]]+Table1[[#This Row],[Duration]]</f>
        <v>44741</v>
      </c>
      <c r="G5" s="3">
        <v>3</v>
      </c>
      <c r="H5" s="2">
        <f>Table1[[#This Row],[Days completed]]/Table1[[#This Row],[Duration]]</f>
        <v>0.33333333333333331</v>
      </c>
      <c r="I5" s="3">
        <v>150000</v>
      </c>
      <c r="J5" s="3">
        <v>50000</v>
      </c>
    </row>
    <row r="6" spans="1:14" x14ac:dyDescent="0.25">
      <c r="A6" s="39" t="s">
        <v>51</v>
      </c>
      <c r="B6" s="39" t="s">
        <v>43</v>
      </c>
      <c r="C6" t="s">
        <v>55</v>
      </c>
      <c r="D6" s="27">
        <v>44733</v>
      </c>
      <c r="E6">
        <v>4</v>
      </c>
      <c r="F6" s="27">
        <f>Table1[[#This Row],[Start Date]]+Table1[[#This Row],[Duration]]</f>
        <v>44737</v>
      </c>
      <c r="G6" s="3">
        <v>1</v>
      </c>
      <c r="H6" s="2">
        <f>Table1[[#This Row],[Days completed]]/Table1[[#This Row],[Duration]]</f>
        <v>0.25</v>
      </c>
      <c r="I6" s="3">
        <v>150000</v>
      </c>
      <c r="J6" s="3">
        <v>50000</v>
      </c>
    </row>
    <row r="7" spans="1:14" x14ac:dyDescent="0.25">
      <c r="A7" s="39" t="s">
        <v>51</v>
      </c>
      <c r="B7" s="39" t="s">
        <v>44</v>
      </c>
      <c r="C7" t="s">
        <v>37</v>
      </c>
      <c r="D7" s="27">
        <v>44734</v>
      </c>
      <c r="E7">
        <v>6</v>
      </c>
      <c r="F7" s="27">
        <f>Table1[[#This Row],[Start Date]]+Table1[[#This Row],[Duration]]</f>
        <v>44740</v>
      </c>
      <c r="G7" s="3">
        <v>0</v>
      </c>
      <c r="H7" s="2">
        <f>Table1[[#This Row],[Days completed]]/Table1[[#This Row],[Duration]]</f>
        <v>0</v>
      </c>
      <c r="I7" s="3">
        <v>150000</v>
      </c>
      <c r="J7" s="3">
        <v>50000</v>
      </c>
    </row>
    <row r="8" spans="1:14" x14ac:dyDescent="0.25">
      <c r="A8" s="39" t="s">
        <v>51</v>
      </c>
      <c r="B8" s="39" t="s">
        <v>45</v>
      </c>
      <c r="C8" t="s">
        <v>54</v>
      </c>
      <c r="D8" s="27">
        <v>44735</v>
      </c>
      <c r="E8">
        <v>7</v>
      </c>
      <c r="F8" s="27">
        <f>Table1[[#This Row],[Start Date]]+Table1[[#This Row],[Duration]]</f>
        <v>44742</v>
      </c>
      <c r="G8" s="3">
        <v>3</v>
      </c>
      <c r="H8" s="2">
        <f>Table1[[#This Row],[Days completed]]/Table1[[#This Row],[Duration]]</f>
        <v>0.42857142857142855</v>
      </c>
      <c r="I8" s="3">
        <v>150000</v>
      </c>
      <c r="J8" s="3">
        <v>50000</v>
      </c>
    </row>
    <row r="9" spans="1:14" x14ac:dyDescent="0.25">
      <c r="A9" s="39" t="s">
        <v>51</v>
      </c>
      <c r="B9" s="39" t="s">
        <v>46</v>
      </c>
      <c r="C9" t="s">
        <v>55</v>
      </c>
      <c r="D9" s="27">
        <v>44736</v>
      </c>
      <c r="E9">
        <v>5</v>
      </c>
      <c r="F9" s="27">
        <f>Table1[[#This Row],[Start Date]]+Table1[[#This Row],[Duration]]</f>
        <v>44741</v>
      </c>
      <c r="G9" s="3">
        <v>2</v>
      </c>
      <c r="H9" s="2">
        <f>Table1[[#This Row],[Days completed]]/Table1[[#This Row],[Duration]]</f>
        <v>0.4</v>
      </c>
      <c r="I9" s="3">
        <v>150000</v>
      </c>
      <c r="J9" s="3">
        <v>50000</v>
      </c>
    </row>
    <row r="10" spans="1:14" x14ac:dyDescent="0.25">
      <c r="A10" s="39" t="s">
        <v>51</v>
      </c>
      <c r="B10" s="39" t="s">
        <v>47</v>
      </c>
      <c r="C10" t="s">
        <v>37</v>
      </c>
      <c r="D10" s="27">
        <v>44737</v>
      </c>
      <c r="E10">
        <v>9</v>
      </c>
      <c r="F10" s="27">
        <f>Table1[[#This Row],[Start Date]]+Table1[[#This Row],[Duration]]</f>
        <v>44746</v>
      </c>
      <c r="G10" s="3">
        <v>1</v>
      </c>
      <c r="H10" s="2">
        <f>Table1[[#This Row],[Days completed]]/Table1[[#This Row],[Duration]]</f>
        <v>0.1111111111111111</v>
      </c>
      <c r="I10" s="3">
        <v>150000</v>
      </c>
      <c r="J10" s="3">
        <v>50000</v>
      </c>
    </row>
    <row r="11" spans="1:14" x14ac:dyDescent="0.25">
      <c r="A11" s="39" t="s">
        <v>51</v>
      </c>
      <c r="B11" s="39" t="s">
        <v>48</v>
      </c>
      <c r="C11" t="s">
        <v>56</v>
      </c>
      <c r="D11" s="27">
        <v>44738</v>
      </c>
      <c r="E11">
        <v>6</v>
      </c>
      <c r="F11" s="27">
        <f>Table1[[#This Row],[Start Date]]+Table1[[#This Row],[Duration]]</f>
        <v>44744</v>
      </c>
      <c r="G11" s="3">
        <v>3</v>
      </c>
      <c r="H11" s="2">
        <f>Table1[[#This Row],[Days completed]]/Table1[[#This Row],[Duration]]</f>
        <v>0.5</v>
      </c>
      <c r="I11" s="3">
        <v>150000</v>
      </c>
      <c r="J11" s="3">
        <v>50000</v>
      </c>
    </row>
    <row r="12" spans="1:14" x14ac:dyDescent="0.25">
      <c r="A12" s="39" t="s">
        <v>49</v>
      </c>
      <c r="B12" s="39" t="s">
        <v>4</v>
      </c>
      <c r="C12" t="s">
        <v>55</v>
      </c>
      <c r="D12" s="27">
        <v>44739</v>
      </c>
      <c r="E12">
        <v>7</v>
      </c>
      <c r="F12" s="27">
        <f>Table1[[#This Row],[Start Date]]+Table1[[#This Row],[Duration]]</f>
        <v>44746</v>
      </c>
      <c r="G12" s="3">
        <v>7</v>
      </c>
      <c r="H12" s="2">
        <f>Table1[[#This Row],[Days completed]]/Table1[[#This Row],[Duration]]</f>
        <v>1</v>
      </c>
      <c r="I12" s="3">
        <v>150000</v>
      </c>
      <c r="J12" s="3">
        <v>50000</v>
      </c>
    </row>
    <row r="13" spans="1:14" x14ac:dyDescent="0.25">
      <c r="A13" s="39" t="s">
        <v>49</v>
      </c>
      <c r="B13" s="39" t="s">
        <v>40</v>
      </c>
      <c r="C13" t="s">
        <v>37</v>
      </c>
      <c r="D13" s="27">
        <v>44740</v>
      </c>
      <c r="E13">
        <v>9</v>
      </c>
      <c r="F13" s="27">
        <f>Table1[[#This Row],[Start Date]]+Table1[[#This Row],[Duration]]</f>
        <v>44749</v>
      </c>
      <c r="G13" s="3">
        <v>4</v>
      </c>
      <c r="H13" s="2">
        <f>Table1[[#This Row],[Days completed]]/Table1[[#This Row],[Duration]]</f>
        <v>0.44444444444444442</v>
      </c>
      <c r="I13" s="3">
        <v>150000</v>
      </c>
      <c r="J13" s="3">
        <v>50000</v>
      </c>
    </row>
    <row r="14" spans="1:14" x14ac:dyDescent="0.25">
      <c r="A14" s="39" t="s">
        <v>49</v>
      </c>
      <c r="B14" s="39" t="s">
        <v>41</v>
      </c>
      <c r="C14" t="s">
        <v>54</v>
      </c>
      <c r="D14" s="27">
        <v>44741</v>
      </c>
      <c r="E14">
        <v>8</v>
      </c>
      <c r="F14" s="27">
        <f>Table1[[#This Row],[Start Date]]+Table1[[#This Row],[Duration]]</f>
        <v>44749</v>
      </c>
      <c r="G14" s="3">
        <v>0</v>
      </c>
      <c r="H14" s="2">
        <f>Table1[[#This Row],[Days completed]]/Table1[[#This Row],[Duration]]</f>
        <v>0</v>
      </c>
      <c r="I14" s="3">
        <v>150000</v>
      </c>
      <c r="J14" s="3">
        <v>50000</v>
      </c>
    </row>
    <row r="15" spans="1:14" x14ac:dyDescent="0.25">
      <c r="A15" s="39" t="s">
        <v>49</v>
      </c>
      <c r="B15" s="39" t="s">
        <v>42</v>
      </c>
      <c r="C15" t="s">
        <v>55</v>
      </c>
      <c r="D15" s="27">
        <v>44742</v>
      </c>
      <c r="E15">
        <v>7</v>
      </c>
      <c r="F15" s="27">
        <f>Table1[[#This Row],[Start Date]]+Table1[[#This Row],[Duration]]</f>
        <v>44749</v>
      </c>
      <c r="G15" s="3">
        <v>3</v>
      </c>
      <c r="H15" s="2">
        <f>Table1[[#This Row],[Days completed]]/Table1[[#This Row],[Duration]]</f>
        <v>0.42857142857142855</v>
      </c>
      <c r="I15" s="3">
        <v>150000</v>
      </c>
      <c r="J15" s="3">
        <v>50000</v>
      </c>
    </row>
    <row r="16" spans="1:14" x14ac:dyDescent="0.25">
      <c r="A16" s="39" t="s">
        <v>49</v>
      </c>
      <c r="B16" s="39" t="s">
        <v>43</v>
      </c>
      <c r="C16" t="s">
        <v>37</v>
      </c>
      <c r="D16" s="27">
        <v>44743</v>
      </c>
      <c r="E16">
        <v>4</v>
      </c>
      <c r="F16" s="27">
        <f>Table1[[#This Row],[Start Date]]+Table1[[#This Row],[Duration]]</f>
        <v>44747</v>
      </c>
      <c r="G16" s="3">
        <v>1</v>
      </c>
      <c r="H16" s="2">
        <f>Table1[[#This Row],[Days completed]]/Table1[[#This Row],[Duration]]</f>
        <v>0.25</v>
      </c>
      <c r="I16" s="3">
        <v>150000</v>
      </c>
      <c r="J16" s="3">
        <v>50000</v>
      </c>
    </row>
    <row r="17" spans="1:10" x14ac:dyDescent="0.25">
      <c r="A17" s="39" t="s">
        <v>49</v>
      </c>
      <c r="B17" s="39" t="s">
        <v>44</v>
      </c>
      <c r="C17" t="s">
        <v>54</v>
      </c>
      <c r="D17" s="27">
        <v>44744</v>
      </c>
      <c r="E17">
        <v>6</v>
      </c>
      <c r="F17" s="27">
        <f>Table1[[#This Row],[Start Date]]+Table1[[#This Row],[Duration]]</f>
        <v>44750</v>
      </c>
      <c r="G17" s="3">
        <v>3</v>
      </c>
      <c r="H17" s="2">
        <f>Table1[[#This Row],[Days completed]]/Table1[[#This Row],[Duration]]</f>
        <v>0.5</v>
      </c>
      <c r="I17" s="3">
        <v>150000</v>
      </c>
      <c r="J17" s="3">
        <v>50000</v>
      </c>
    </row>
    <row r="18" spans="1:10" x14ac:dyDescent="0.25">
      <c r="A18" s="39" t="s">
        <v>49</v>
      </c>
      <c r="B18" s="39" t="s">
        <v>45</v>
      </c>
      <c r="C18" t="s">
        <v>55</v>
      </c>
      <c r="D18" s="27">
        <v>44745</v>
      </c>
      <c r="E18">
        <v>6</v>
      </c>
      <c r="F18" s="27">
        <f>Table1[[#This Row],[Start Date]]+Table1[[#This Row],[Duration]]</f>
        <v>44751</v>
      </c>
      <c r="G18" s="3">
        <v>5</v>
      </c>
      <c r="H18" s="2">
        <f>Table1[[#This Row],[Days completed]]/Table1[[#This Row],[Duration]]</f>
        <v>0.83333333333333337</v>
      </c>
      <c r="I18" s="3">
        <v>150000</v>
      </c>
      <c r="J18" s="3">
        <v>50000</v>
      </c>
    </row>
    <row r="19" spans="1:10" x14ac:dyDescent="0.25">
      <c r="A19" s="39" t="s">
        <v>49</v>
      </c>
      <c r="B19" s="39" t="s">
        <v>46</v>
      </c>
      <c r="C19" t="s">
        <v>37</v>
      </c>
      <c r="D19" s="27">
        <v>44746</v>
      </c>
      <c r="E19">
        <v>4</v>
      </c>
      <c r="F19" s="27">
        <f>Table1[[#This Row],[Start Date]]+Table1[[#This Row],[Duration]]</f>
        <v>44750</v>
      </c>
      <c r="G19" s="3">
        <v>1</v>
      </c>
      <c r="H19" s="2">
        <f>Table1[[#This Row],[Days completed]]/Table1[[#This Row],[Duration]]</f>
        <v>0.25</v>
      </c>
      <c r="I19" s="3">
        <v>150000</v>
      </c>
      <c r="J19" s="3">
        <v>50000</v>
      </c>
    </row>
    <row r="20" spans="1:10" x14ac:dyDescent="0.25">
      <c r="A20" s="39" t="s">
        <v>49</v>
      </c>
      <c r="B20" s="39" t="s">
        <v>47</v>
      </c>
      <c r="C20" t="s">
        <v>54</v>
      </c>
      <c r="D20" s="27">
        <v>44747</v>
      </c>
      <c r="E20">
        <v>7</v>
      </c>
      <c r="F20" s="27">
        <f>Table1[[#This Row],[Start Date]]+Table1[[#This Row],[Duration]]</f>
        <v>44754</v>
      </c>
      <c r="G20" s="3">
        <v>3</v>
      </c>
      <c r="H20" s="2">
        <f>Table1[[#This Row],[Days completed]]/Table1[[#This Row],[Duration]]</f>
        <v>0.42857142857142855</v>
      </c>
      <c r="I20" s="3">
        <v>150000</v>
      </c>
      <c r="J20" s="3">
        <v>50000</v>
      </c>
    </row>
    <row r="21" spans="1:10" x14ac:dyDescent="0.25">
      <c r="A21" s="39" t="s">
        <v>49</v>
      </c>
      <c r="B21" s="39" t="s">
        <v>48</v>
      </c>
      <c r="C21" t="s">
        <v>55</v>
      </c>
      <c r="D21" s="27">
        <v>44748</v>
      </c>
      <c r="E21">
        <v>3</v>
      </c>
      <c r="F21" s="27">
        <f>Table1[[#This Row],[Start Date]]+Table1[[#This Row],[Duration]]</f>
        <v>44751</v>
      </c>
      <c r="G21" s="3">
        <v>3</v>
      </c>
      <c r="H21" s="2">
        <f>Table1[[#This Row],[Days completed]]/Table1[[#This Row],[Duration]]</f>
        <v>1</v>
      </c>
      <c r="I21" s="3">
        <v>150000</v>
      </c>
      <c r="J21" s="3">
        <v>50000</v>
      </c>
    </row>
    <row r="22" spans="1:10" x14ac:dyDescent="0.25">
      <c r="A22" s="39" t="s">
        <v>50</v>
      </c>
      <c r="B22" s="39" t="s">
        <v>4</v>
      </c>
      <c r="C22" t="s">
        <v>37</v>
      </c>
      <c r="D22" s="27">
        <v>44749</v>
      </c>
      <c r="E22">
        <v>10</v>
      </c>
      <c r="F22" s="27">
        <f>Table1[[#This Row],[Start Date]]+Table1[[#This Row],[Duration]]</f>
        <v>44759</v>
      </c>
      <c r="G22" s="3">
        <v>5</v>
      </c>
      <c r="H22" s="2">
        <f>Table1[[#This Row],[Days completed]]/Table1[[#This Row],[Duration]]</f>
        <v>0.5</v>
      </c>
      <c r="I22" s="3">
        <v>150000</v>
      </c>
      <c r="J22" s="3">
        <v>50000</v>
      </c>
    </row>
    <row r="23" spans="1:10" x14ac:dyDescent="0.25">
      <c r="A23" s="39" t="s">
        <v>50</v>
      </c>
      <c r="B23" s="39" t="s">
        <v>40</v>
      </c>
      <c r="C23" t="s">
        <v>54</v>
      </c>
      <c r="D23" s="27">
        <v>44750</v>
      </c>
      <c r="E23">
        <v>5</v>
      </c>
      <c r="F23" s="27">
        <f>Table1[[#This Row],[Start Date]]+Table1[[#This Row],[Duration]]</f>
        <v>44755</v>
      </c>
      <c r="G23" s="3">
        <v>4</v>
      </c>
      <c r="H23" s="2">
        <f>Table1[[#This Row],[Days completed]]/Table1[[#This Row],[Duration]]</f>
        <v>0.8</v>
      </c>
      <c r="I23" s="3">
        <v>150000</v>
      </c>
      <c r="J23" s="3">
        <v>50000</v>
      </c>
    </row>
    <row r="24" spans="1:10" x14ac:dyDescent="0.25">
      <c r="A24" s="39" t="s">
        <v>50</v>
      </c>
      <c r="B24" s="39" t="s">
        <v>41</v>
      </c>
      <c r="C24" t="s">
        <v>55</v>
      </c>
      <c r="D24" s="27">
        <v>44751</v>
      </c>
      <c r="E24">
        <v>7</v>
      </c>
      <c r="F24" s="27">
        <f>Table1[[#This Row],[Start Date]]+Table1[[#This Row],[Duration]]</f>
        <v>44758</v>
      </c>
      <c r="G24" s="3">
        <v>3</v>
      </c>
      <c r="H24" s="2">
        <f>Table1[[#This Row],[Days completed]]/Table1[[#This Row],[Duration]]</f>
        <v>0.42857142857142855</v>
      </c>
      <c r="I24" s="3">
        <v>150000</v>
      </c>
      <c r="J24" s="3">
        <v>50000</v>
      </c>
    </row>
    <row r="25" spans="1:10" x14ac:dyDescent="0.25">
      <c r="A25" s="39" t="s">
        <v>50</v>
      </c>
      <c r="B25" s="39" t="s">
        <v>42</v>
      </c>
      <c r="C25" t="s">
        <v>37</v>
      </c>
      <c r="D25" s="27">
        <v>44752</v>
      </c>
      <c r="E25">
        <v>7</v>
      </c>
      <c r="F25" s="27">
        <f>Table1[[#This Row],[Start Date]]+Table1[[#This Row],[Duration]]</f>
        <v>44759</v>
      </c>
      <c r="G25" s="3">
        <v>2</v>
      </c>
      <c r="H25" s="2">
        <f>Table1[[#This Row],[Days completed]]/Table1[[#This Row],[Duration]]</f>
        <v>0.2857142857142857</v>
      </c>
      <c r="I25" s="3">
        <v>150000</v>
      </c>
      <c r="J25" s="3">
        <v>50000</v>
      </c>
    </row>
    <row r="26" spans="1:10" x14ac:dyDescent="0.25">
      <c r="A26" s="39" t="s">
        <v>50</v>
      </c>
      <c r="B26" s="39" t="s">
        <v>43</v>
      </c>
      <c r="C26" t="s">
        <v>54</v>
      </c>
      <c r="D26" s="27">
        <v>44753</v>
      </c>
      <c r="E26">
        <v>3</v>
      </c>
      <c r="F26" s="27">
        <f>Table1[[#This Row],[Start Date]]+Table1[[#This Row],[Duration]]</f>
        <v>44756</v>
      </c>
      <c r="G26" s="3">
        <v>2</v>
      </c>
      <c r="H26" s="2">
        <f>Table1[[#This Row],[Days completed]]/Table1[[#This Row],[Duration]]</f>
        <v>0.66666666666666663</v>
      </c>
      <c r="I26" s="3">
        <v>150000</v>
      </c>
      <c r="J26" s="3">
        <v>50000</v>
      </c>
    </row>
    <row r="27" spans="1:10" x14ac:dyDescent="0.25">
      <c r="A27" s="39" t="s">
        <v>52</v>
      </c>
      <c r="B27" s="39" t="s">
        <v>4</v>
      </c>
      <c r="C27" t="s">
        <v>55</v>
      </c>
      <c r="D27" s="27">
        <v>44754</v>
      </c>
      <c r="E27">
        <v>9</v>
      </c>
      <c r="F27" s="27">
        <f>Table1[[#This Row],[Start Date]]+Table1[[#This Row],[Duration]]</f>
        <v>44763</v>
      </c>
      <c r="G27" s="3">
        <v>8</v>
      </c>
      <c r="H27" s="2">
        <f>Table1[[#This Row],[Days completed]]/Table1[[#This Row],[Duration]]</f>
        <v>0.88888888888888884</v>
      </c>
      <c r="I27" s="3">
        <v>150000</v>
      </c>
      <c r="J27" s="3">
        <v>50000</v>
      </c>
    </row>
    <row r="28" spans="1:10" x14ac:dyDescent="0.25">
      <c r="A28" s="39" t="s">
        <v>52</v>
      </c>
      <c r="B28" s="39" t="s">
        <v>40</v>
      </c>
      <c r="C28" t="s">
        <v>37</v>
      </c>
      <c r="D28" s="27">
        <v>44755</v>
      </c>
      <c r="E28">
        <v>10</v>
      </c>
      <c r="F28" s="27">
        <f>Table1[[#This Row],[Start Date]]+Table1[[#This Row],[Duration]]</f>
        <v>44765</v>
      </c>
      <c r="G28" s="3">
        <v>2</v>
      </c>
      <c r="H28" s="2">
        <f>Table1[[#This Row],[Days completed]]/Table1[[#This Row],[Duration]]</f>
        <v>0.2</v>
      </c>
      <c r="I28" s="3">
        <v>150000</v>
      </c>
      <c r="J28" s="3">
        <v>50000</v>
      </c>
    </row>
    <row r="29" spans="1:10" x14ac:dyDescent="0.25">
      <c r="A29" s="39" t="s">
        <v>52</v>
      </c>
      <c r="B29" s="39" t="s">
        <v>41</v>
      </c>
      <c r="C29" t="s">
        <v>54</v>
      </c>
      <c r="D29" s="27">
        <v>44756</v>
      </c>
      <c r="E29">
        <v>4</v>
      </c>
      <c r="F29" s="27">
        <f>Table1[[#This Row],[Start Date]]+Table1[[#This Row],[Duration]]</f>
        <v>44760</v>
      </c>
      <c r="G29" s="3">
        <v>0</v>
      </c>
      <c r="H29" s="2">
        <f>Table1[[#This Row],[Days completed]]/Table1[[#This Row],[Duration]]</f>
        <v>0</v>
      </c>
      <c r="I29" s="3">
        <v>150000</v>
      </c>
      <c r="J29" s="3">
        <v>50000</v>
      </c>
    </row>
    <row r="30" spans="1:10" x14ac:dyDescent="0.25">
      <c r="A30" s="39" t="s">
        <v>52</v>
      </c>
      <c r="B30" s="39" t="s">
        <v>42</v>
      </c>
      <c r="C30" t="s">
        <v>55</v>
      </c>
      <c r="D30" s="27">
        <v>44757</v>
      </c>
      <c r="E30">
        <v>8</v>
      </c>
      <c r="F30" s="27">
        <f>Table1[[#This Row],[Start Date]]+Table1[[#This Row],[Duration]]</f>
        <v>44765</v>
      </c>
      <c r="G30" s="3">
        <v>5</v>
      </c>
      <c r="H30" s="2">
        <f>Table1[[#This Row],[Days completed]]/Table1[[#This Row],[Duration]]</f>
        <v>0.625</v>
      </c>
      <c r="I30" s="3">
        <v>150000</v>
      </c>
      <c r="J30" s="3">
        <v>50000</v>
      </c>
    </row>
    <row r="31" spans="1:10" x14ac:dyDescent="0.25">
      <c r="A31" s="39" t="s">
        <v>52</v>
      </c>
      <c r="B31" s="39" t="s">
        <v>43</v>
      </c>
      <c r="C31" t="s">
        <v>37</v>
      </c>
      <c r="D31" s="27">
        <v>44758</v>
      </c>
      <c r="E31">
        <v>10</v>
      </c>
      <c r="F31" s="27">
        <f>Table1[[#This Row],[Start Date]]+Table1[[#This Row],[Duration]]</f>
        <v>44768</v>
      </c>
      <c r="G31" s="3">
        <v>3</v>
      </c>
      <c r="H31" s="2">
        <f>Table1[[#This Row],[Days completed]]/Table1[[#This Row],[Duration]]</f>
        <v>0.3</v>
      </c>
      <c r="I31" s="3">
        <v>150000</v>
      </c>
      <c r="J31" s="3">
        <v>50000</v>
      </c>
    </row>
    <row r="32" spans="1:10" x14ac:dyDescent="0.25">
      <c r="A32" s="39" t="s">
        <v>52</v>
      </c>
      <c r="B32" s="39" t="s">
        <v>44</v>
      </c>
      <c r="C32" t="s">
        <v>54</v>
      </c>
      <c r="D32" s="27">
        <v>44759</v>
      </c>
      <c r="E32">
        <v>6</v>
      </c>
      <c r="F32" s="27">
        <f>Table1[[#This Row],[Start Date]]+Table1[[#This Row],[Duration]]</f>
        <v>44765</v>
      </c>
      <c r="G32" s="3">
        <v>3</v>
      </c>
      <c r="H32" s="2">
        <f>Table1[[#This Row],[Days completed]]/Table1[[#This Row],[Duration]]</f>
        <v>0.5</v>
      </c>
      <c r="I32" s="3">
        <v>150000</v>
      </c>
      <c r="J32" s="3">
        <v>50000</v>
      </c>
    </row>
    <row r="33" spans="1:10" x14ac:dyDescent="0.25">
      <c r="A33" s="39" t="s">
        <v>52</v>
      </c>
      <c r="B33" s="39" t="s">
        <v>45</v>
      </c>
      <c r="C33" t="s">
        <v>55</v>
      </c>
      <c r="D33" s="27">
        <v>44760</v>
      </c>
      <c r="E33">
        <v>4</v>
      </c>
      <c r="F33" s="27">
        <f>Table1[[#This Row],[Start Date]]+Table1[[#This Row],[Duration]]</f>
        <v>44764</v>
      </c>
      <c r="G33" s="3">
        <v>2</v>
      </c>
      <c r="H33" s="2">
        <f>Table1[[#This Row],[Days completed]]/Table1[[#This Row],[Duration]]</f>
        <v>0.5</v>
      </c>
      <c r="I33" s="3">
        <v>400000</v>
      </c>
      <c r="J33" s="3">
        <v>270000</v>
      </c>
    </row>
    <row r="34" spans="1:10" x14ac:dyDescent="0.25">
      <c r="A34" s="39" t="s">
        <v>53</v>
      </c>
      <c r="B34" s="39" t="s">
        <v>4</v>
      </c>
      <c r="C34" t="s">
        <v>37</v>
      </c>
      <c r="D34" s="27">
        <v>44761</v>
      </c>
      <c r="E34">
        <v>8</v>
      </c>
      <c r="F34" s="27">
        <f>Table1[[#This Row],[Start Date]]+Table1[[#This Row],[Duration]]</f>
        <v>44769</v>
      </c>
      <c r="G34" s="3">
        <v>3</v>
      </c>
      <c r="H34" s="2">
        <f>Table1[[#This Row],[Days completed]]/Table1[[#This Row],[Duration]]</f>
        <v>0.375</v>
      </c>
      <c r="I34" s="3">
        <v>400000</v>
      </c>
      <c r="J34" s="3">
        <v>270000</v>
      </c>
    </row>
    <row r="35" spans="1:10" x14ac:dyDescent="0.25">
      <c r="A35" s="39" t="s">
        <v>53</v>
      </c>
      <c r="B35" s="39" t="s">
        <v>40</v>
      </c>
      <c r="C35" t="s">
        <v>54</v>
      </c>
      <c r="D35" s="27">
        <v>44762</v>
      </c>
      <c r="E35">
        <v>9</v>
      </c>
      <c r="F35" s="27">
        <f>Table1[[#This Row],[Start Date]]+Table1[[#This Row],[Duration]]</f>
        <v>44771</v>
      </c>
      <c r="G35" s="3">
        <v>4</v>
      </c>
      <c r="H35" s="2">
        <f>Table1[[#This Row],[Days completed]]/Table1[[#This Row],[Duration]]</f>
        <v>0.44444444444444442</v>
      </c>
      <c r="I35" s="3">
        <v>400000</v>
      </c>
      <c r="J35" s="3">
        <v>270000</v>
      </c>
    </row>
    <row r="36" spans="1:10" x14ac:dyDescent="0.25">
      <c r="A36" s="39" t="s">
        <v>53</v>
      </c>
      <c r="B36" s="39" t="s">
        <v>41</v>
      </c>
      <c r="C36" t="s">
        <v>55</v>
      </c>
      <c r="D36" s="27">
        <v>44763</v>
      </c>
      <c r="E36">
        <v>5</v>
      </c>
      <c r="F36" s="27">
        <f>Table1[[#This Row],[Start Date]]+Table1[[#This Row],[Duration]]</f>
        <v>44768</v>
      </c>
      <c r="G36" s="3">
        <v>3</v>
      </c>
      <c r="H36" s="2">
        <f>Table1[[#This Row],[Days completed]]/Table1[[#This Row],[Duration]]</f>
        <v>0.6</v>
      </c>
      <c r="I36" s="3">
        <v>400000</v>
      </c>
      <c r="J36" s="3">
        <v>270000</v>
      </c>
    </row>
    <row r="37" spans="1:10" x14ac:dyDescent="0.25">
      <c r="A37" s="39" t="s">
        <v>53</v>
      </c>
      <c r="B37" s="39" t="s">
        <v>42</v>
      </c>
      <c r="C37" t="s">
        <v>37</v>
      </c>
      <c r="D37" s="27">
        <v>44764</v>
      </c>
      <c r="E37">
        <v>3</v>
      </c>
      <c r="F37" s="27">
        <f>Table1[[#This Row],[Start Date]]+Table1[[#This Row],[Duration]]</f>
        <v>44767</v>
      </c>
      <c r="G37" s="3">
        <v>3</v>
      </c>
      <c r="H37" s="2">
        <f>Table1[[#This Row],[Days completed]]/Table1[[#This Row],[Duration]]</f>
        <v>1</v>
      </c>
      <c r="I37" s="3">
        <v>400000</v>
      </c>
      <c r="J37" s="3">
        <v>270000</v>
      </c>
    </row>
    <row r="38" spans="1:10" x14ac:dyDescent="0.25">
      <c r="A38" s="39" t="s">
        <v>53</v>
      </c>
      <c r="B38" s="39" t="s">
        <v>43</v>
      </c>
      <c r="C38" t="s">
        <v>54</v>
      </c>
      <c r="D38" s="27">
        <v>44765</v>
      </c>
      <c r="E38">
        <v>7</v>
      </c>
      <c r="F38" s="27">
        <f>Table1[[#This Row],[Start Date]]+Table1[[#This Row],[Duration]]</f>
        <v>44772</v>
      </c>
      <c r="G38" s="3">
        <v>3</v>
      </c>
      <c r="H38" s="2">
        <f>Table1[[#This Row],[Days completed]]/Table1[[#This Row],[Duration]]</f>
        <v>0.42857142857142855</v>
      </c>
      <c r="I38" s="3">
        <v>400000</v>
      </c>
      <c r="J38" s="3">
        <v>270000</v>
      </c>
    </row>
    <row r="39" spans="1:10" x14ac:dyDescent="0.25">
      <c r="A39" s="39" t="s">
        <v>53</v>
      </c>
      <c r="B39" s="39" t="s">
        <v>44</v>
      </c>
      <c r="C39" t="s">
        <v>55</v>
      </c>
      <c r="D39" s="27">
        <v>44766</v>
      </c>
      <c r="E39">
        <v>10</v>
      </c>
      <c r="F39" s="27">
        <f>Table1[[#This Row],[Start Date]]+Table1[[#This Row],[Duration]]</f>
        <v>44776</v>
      </c>
      <c r="G39" s="3">
        <v>2</v>
      </c>
      <c r="H39" s="2">
        <f>Table1[[#This Row],[Days completed]]/Table1[[#This Row],[Duration]]</f>
        <v>0.2</v>
      </c>
      <c r="I39" s="3">
        <v>400000</v>
      </c>
      <c r="J39" s="3">
        <v>270000</v>
      </c>
    </row>
    <row r="40" spans="1:10" x14ac:dyDescent="0.25">
      <c r="A40" s="39" t="s">
        <v>53</v>
      </c>
      <c r="B40" s="39" t="s">
        <v>45</v>
      </c>
      <c r="C40" t="s">
        <v>37</v>
      </c>
      <c r="D40" s="27">
        <v>44767</v>
      </c>
      <c r="E40">
        <v>10</v>
      </c>
      <c r="F40" s="27">
        <f>Table1[[#This Row],[Start Date]]+Table1[[#This Row],[Duration]]</f>
        <v>44777</v>
      </c>
      <c r="G40" s="3">
        <v>3</v>
      </c>
      <c r="H40" s="2">
        <f>Table1[[#This Row],[Days completed]]/Table1[[#This Row],[Duration]]</f>
        <v>0.3</v>
      </c>
      <c r="I40" s="3">
        <v>400000</v>
      </c>
      <c r="J40" s="3">
        <v>270000</v>
      </c>
    </row>
    <row r="41" spans="1:10" x14ac:dyDescent="0.25">
      <c r="A41" s="39" t="s">
        <v>53</v>
      </c>
      <c r="B41" s="39" t="s">
        <v>46</v>
      </c>
      <c r="C41" t="s">
        <v>57</v>
      </c>
      <c r="D41" s="27">
        <v>44768</v>
      </c>
      <c r="E41">
        <v>3</v>
      </c>
      <c r="F41" s="27">
        <f>Table1[[#This Row],[Start Date]]+Table1[[#This Row],[Duration]]</f>
        <v>44771</v>
      </c>
      <c r="G41" s="3">
        <v>0</v>
      </c>
      <c r="H41" s="2">
        <f>Table1[[#This Row],[Days completed]]/Table1[[#This Row],[Duration]]</f>
        <v>0</v>
      </c>
      <c r="I41" s="3">
        <v>400000</v>
      </c>
      <c r="J41" s="3">
        <v>270000</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81747-95AA-4C14-943A-F1A16A30FB5B}">
  <sheetPr codeName="Sheet2"/>
  <dimension ref="A1:P11"/>
  <sheetViews>
    <sheetView workbookViewId="0">
      <selection activeCell="P1" sqref="P1"/>
    </sheetView>
  </sheetViews>
  <sheetFormatPr baseColWidth="10" defaultColWidth="9.140625" defaultRowHeight="15" x14ac:dyDescent="0.25"/>
  <cols>
    <col min="1" max="1" width="13.85546875" bestFit="1" customWidth="1"/>
    <col min="2" max="3" width="10.5703125" customWidth="1"/>
    <col min="4" max="4" width="7.5703125" customWidth="1"/>
    <col min="5" max="5" width="11.140625" bestFit="1" customWidth="1"/>
    <col min="7" max="7" width="59.5703125" bestFit="1" customWidth="1"/>
    <col min="8" max="8" width="5.7109375" customWidth="1"/>
    <col min="9" max="9" width="22.140625" bestFit="1" customWidth="1"/>
    <col min="10" max="10" width="8.28515625" customWidth="1"/>
    <col min="11" max="11" width="2" customWidth="1"/>
    <col min="12" max="12" width="15.5703125" bestFit="1" customWidth="1"/>
    <col min="14" max="14" width="11.5703125" customWidth="1"/>
    <col min="15" max="15" width="8.42578125" customWidth="1"/>
    <col min="16" max="16" width="17" bestFit="1" customWidth="1"/>
  </cols>
  <sheetData>
    <row r="1" spans="1:16" s="9" customFormat="1" ht="21" customHeight="1" x14ac:dyDescent="0.25">
      <c r="A1" s="25" t="s">
        <v>25</v>
      </c>
      <c r="B1" s="21"/>
      <c r="C1" s="21"/>
      <c r="E1" s="25" t="s">
        <v>24</v>
      </c>
      <c r="F1" s="21"/>
      <c r="G1" s="21"/>
      <c r="I1" s="25" t="s">
        <v>26</v>
      </c>
      <c r="J1" s="21"/>
      <c r="K1" s="21"/>
      <c r="L1" s="21"/>
      <c r="M1" s="21"/>
      <c r="N1" s="21"/>
      <c r="P1" s="26" t="s">
        <v>19</v>
      </c>
    </row>
    <row r="2" spans="1:16" x14ac:dyDescent="0.25">
      <c r="B2" t="s">
        <v>13</v>
      </c>
      <c r="C2" t="s">
        <v>12</v>
      </c>
      <c r="E2" s="5" t="s">
        <v>18</v>
      </c>
      <c r="F2" s="6">
        <f>COUNTIF(Dashboard!H6:H51,"="&amp;0)</f>
        <v>4</v>
      </c>
      <c r="G2" s="5" t="str">
        <f ca="1">_xlfn.FORMULATEXT(F2)</f>
        <v>=CONTAR.SI(Dashboard!H6:H51;"="&amp;0)</v>
      </c>
      <c r="I2" s="4" t="s">
        <v>14</v>
      </c>
      <c r="L2" s="15" t="s">
        <v>30</v>
      </c>
      <c r="M2" s="23" t="s">
        <v>20</v>
      </c>
      <c r="N2" s="24" t="s">
        <v>21</v>
      </c>
      <c r="P2">
        <v>0</v>
      </c>
    </row>
    <row r="3" spans="1:16" x14ac:dyDescent="0.25">
      <c r="A3" t="s">
        <v>31</v>
      </c>
      <c r="B3" s="19">
        <v>3980000</v>
      </c>
      <c r="C3" s="19">
        <v>8250000</v>
      </c>
      <c r="E3" s="5" t="s">
        <v>16</v>
      </c>
      <c r="F3" s="6">
        <f>COUNTIFS(Dashboard!H6:H51,"&lt;&gt;"&amp;0,Dashboard!H6:H51,"&lt;"&amp;1)</f>
        <v>33</v>
      </c>
      <c r="G3" s="5" t="str">
        <f ca="1">_xlfn.FORMULATEXT(F3)</f>
        <v>=CONTAR.SI.CONJUNTO(Dashboard!H6:H51;"&lt;&gt;"&amp;0;Dashboard!H6:H51;"&lt;"&amp;1)</v>
      </c>
      <c r="I3" s="5" t="s">
        <v>23</v>
      </c>
      <c r="J3" s="46">
        <v>112</v>
      </c>
      <c r="L3" t="s">
        <v>29</v>
      </c>
      <c r="M3" s="22">
        <f>J3/$J$4</f>
        <v>0.42105263157894735</v>
      </c>
      <c r="N3" s="2" t="str">
        <f ca="1">_xlfn.FORMULATEXT(M3)</f>
        <v>=J3/$J$4</v>
      </c>
    </row>
    <row r="4" spans="1:16" x14ac:dyDescent="0.25">
      <c r="A4" t="s">
        <v>32</v>
      </c>
      <c r="B4" s="2">
        <f>GETPIVOTDATA("Actual ",$B$2)/GETPIVOTDATA("Budget ",$B$2)</f>
        <v>0.48242424242424242</v>
      </c>
      <c r="C4" s="2">
        <f>1-B4</f>
        <v>0.51757575757575758</v>
      </c>
      <c r="E4" t="s">
        <v>17</v>
      </c>
      <c r="F4" s="6">
        <f>COUNTIF(Dashboard!H6:H51,"="&amp;1)</f>
        <v>3</v>
      </c>
      <c r="G4" s="5" t="str">
        <f ca="1">_xlfn.FORMULATEXT(F4)</f>
        <v>=CONTAR.SI(Dashboard!H6:H51;"="&amp;1)</v>
      </c>
      <c r="I4" s="5" t="s">
        <v>28</v>
      </c>
      <c r="J4" s="46">
        <v>266</v>
      </c>
      <c r="L4" t="s">
        <v>27</v>
      </c>
      <c r="M4" s="22">
        <f>1-M3</f>
        <v>0.57894736842105265</v>
      </c>
      <c r="N4" s="2" t="str">
        <f ca="1">_xlfn.FORMULATEXT(M4)</f>
        <v>=1-M3</v>
      </c>
    </row>
    <row r="5" spans="1:16" x14ac:dyDescent="0.25">
      <c r="C5" t="str">
        <f ca="1">_xlfn.FORMULATEXT(C4)</f>
        <v>=1-B4</v>
      </c>
      <c r="D5" s="2"/>
      <c r="E5" t="s">
        <v>22</v>
      </c>
      <c r="F5" s="20">
        <f>F3+F2</f>
        <v>37</v>
      </c>
      <c r="G5" s="5" t="str">
        <f ca="1">_xlfn.FORMULATEXT(F5)</f>
        <v>=F3+F2</v>
      </c>
      <c r="L5" s="2"/>
      <c r="M5" s="2"/>
      <c r="N5" s="2"/>
    </row>
    <row r="6" spans="1:16" x14ac:dyDescent="0.25">
      <c r="E6" t="s">
        <v>15</v>
      </c>
      <c r="F6" s="6">
        <f>COUNTA(Dashboard!B6:B50)</f>
        <v>40</v>
      </c>
      <c r="G6" s="5" t="str">
        <f ca="1">_xlfn.FORMULATEXT(F6)</f>
        <v>=CONTARA(Dashboard!B6:B50)</v>
      </c>
    </row>
    <row r="11" spans="1:16" x14ac:dyDescent="0.25">
      <c r="E11" s="4"/>
      <c r="F11" s="4"/>
      <c r="G11" s="4"/>
      <c r="L11" s="4"/>
      <c r="M11" s="4"/>
      <c r="N11"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B4A24-118D-4D28-AF9D-F24C19D21955}">
  <sheetPr codeName="Hoja1">
    <tabColor theme="2" tint="-9.9978637043366805E-2"/>
  </sheetPr>
  <dimension ref="A1:B1"/>
  <sheetViews>
    <sheetView workbookViewId="0">
      <selection activeCell="A30" sqref="A30"/>
    </sheetView>
  </sheetViews>
  <sheetFormatPr baseColWidth="10" defaultRowHeight="15" x14ac:dyDescent="0.25"/>
  <cols>
    <col min="1" max="1" width="53.85546875" customWidth="1"/>
    <col min="2" max="2" width="31" customWidth="1"/>
  </cols>
  <sheetData>
    <row r="1" spans="1:2" x14ac:dyDescent="0.25">
      <c r="A1" s="38"/>
      <c r="B1" s="38"/>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200A517-D961-4037-909A-5DFE49EF19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Dashboard</vt:lpstr>
      <vt:lpstr>Data</vt:lpstr>
      <vt:lpstr>Workings dashboard</vt:lpstr>
      <vt:lpstr>Instructions Data</vt:lpstr>
      <vt:lpstr>Dashboard!Área_de_impresión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Fierro</dc:creator>
  <cp:lastModifiedBy>Bruno Fierro Grossocordone</cp:lastModifiedBy>
  <cp:lastPrinted>2020-03-13T06:15:47Z</cp:lastPrinted>
  <dcterms:created xsi:type="dcterms:W3CDTF">2019-08-20T08:51:45Z</dcterms:created>
  <dcterms:modified xsi:type="dcterms:W3CDTF">2025-10-20T12:44:24Z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02b84695-4a78-46f7-82bd-1e46fd6e4c51</vt:lpwstr>
  </property>
  <property fmtid="{D5CDD505-2E9C-101B-9397-08002B2CF9AE}" pid="3" name="Workbook type">
    <vt:lpwstr>Custom</vt:lpwstr>
  </property>
  <property fmtid="{D5CDD505-2E9C-101B-9397-08002B2CF9AE}" pid="4" name="Workbook version">
    <vt:lpwstr>Custom</vt:lpwstr>
  </property>
  <property fmtid="{D5CDD505-2E9C-101B-9397-08002B2CF9AE}" pid="5" name="SV_QUERY_LIST_4F35BF76-6C0D-4D9B-82B2-816C12CF3733">
    <vt:lpwstr>empty_477D106A-C0D6-4607-AEBD-E2C9D60EA279</vt:lpwstr>
  </property>
  <property fmtid="{D5CDD505-2E9C-101B-9397-08002B2CF9AE}" pid="6" name="SV_HIDDEN_GRID_QUERY_LIST_4F35BF76-6C0D-4D9B-82B2-816C12CF3733">
    <vt:lpwstr>empty_477D106A-C0D6-4607-AEBD-E2C9D60EA279</vt:lpwstr>
  </property>
</Properties>
</file>